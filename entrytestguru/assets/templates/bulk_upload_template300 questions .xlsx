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Non_Office\Dev_Space\vibe_skool\etg-code\entrytestguru\assets\templates\"/>
    </mc:Choice>
  </mc:AlternateContent>
  <xr:revisionPtr revIDLastSave="0" documentId="13_ncr:1_{66428D8E-9AE4-466B-A4BF-1D14C7828BB2}" xr6:coauthVersionLast="47" xr6:coauthVersionMax="47" xr10:uidLastSave="{00000000-0000-0000-0000-000000000000}"/>
  <bookViews>
    <workbookView xWindow="-120" yWindow="-120" windowWidth="20730" windowHeight="11040" xr2:uid="{3DE5D032-E4C7-45AF-B710-A9735A21A42C}"/>
  </bookViews>
  <sheets>
    <sheet name="bulk_upload_template" sheetId="1" r:id="rId1"/>
    <sheet name="lookups" sheetId="2" r:id="rId2"/>
  </sheets>
  <definedNames>
    <definedName name="_xlnm._FilterDatabase" localSheetId="0" hidden="1">bulk_upload_template!$A$1:$T$307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1" l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" i="1"/>
  <c r="M4" i="1"/>
  <c r="M5" i="1"/>
  <c r="M6" i="1"/>
  <c r="M7" i="1"/>
  <c r="M2" i="1"/>
  <c r="J53" i="1"/>
  <c r="I53" i="1"/>
  <c r="I50" i="1"/>
  <c r="H50" i="1"/>
  <c r="H16" i="1"/>
  <c r="G16" i="1"/>
</calcChain>
</file>

<file path=xl/sharedStrings.xml><?xml version="1.0" encoding="utf-8"?>
<sst xmlns="http://schemas.openxmlformats.org/spreadsheetml/2006/main" count="4201" uniqueCount="1020">
  <si>
    <t>questionType</t>
  </si>
  <si>
    <t>subject</t>
  </si>
  <si>
    <t>topic</t>
  </si>
  <si>
    <t>subTopic</t>
  </si>
  <si>
    <t>difficulty</t>
  </si>
  <si>
    <t>tags</t>
  </si>
  <si>
    <t>ECAT</t>
  </si>
  <si>
    <t>Algebra</t>
  </si>
  <si>
    <t>Linear Equations</t>
  </si>
  <si>
    <t>MCAT</t>
  </si>
  <si>
    <t>Exam_Category</t>
  </si>
  <si>
    <t>MCQ - Multi-select</t>
  </si>
  <si>
    <t>MCQ - Single-select</t>
  </si>
  <si>
    <t>Maths</t>
  </si>
  <si>
    <t>Physics</t>
  </si>
  <si>
    <t>Chemistry</t>
  </si>
  <si>
    <t>English</t>
  </si>
  <si>
    <t>Botany</t>
  </si>
  <si>
    <t>Zoology</t>
  </si>
  <si>
    <t>CCAT</t>
  </si>
  <si>
    <t>GMAT</t>
  </si>
  <si>
    <t>GRE</t>
  </si>
  <si>
    <t>SAT</t>
  </si>
  <si>
    <t>Electromagnetism</t>
  </si>
  <si>
    <t>Mechanics</t>
  </si>
  <si>
    <t>Waves</t>
  </si>
  <si>
    <t>Optics</t>
  </si>
  <si>
    <t>Electricity</t>
  </si>
  <si>
    <t>Magnetism</t>
  </si>
  <si>
    <t>Thermodynamics</t>
  </si>
  <si>
    <t>Electronics</t>
  </si>
  <si>
    <t>Functions</t>
  </si>
  <si>
    <t>Calculus</t>
  </si>
  <si>
    <t>Trigonometry</t>
  </si>
  <si>
    <t>Vectors</t>
  </si>
  <si>
    <t>Matrices</t>
  </si>
  <si>
    <t>Probability</t>
  </si>
  <si>
    <t>Statistics</t>
  </si>
  <si>
    <t>Limits</t>
  </si>
  <si>
    <t>Inequalities</t>
  </si>
  <si>
    <t>Determinants</t>
  </si>
  <si>
    <t>Oscillations</t>
  </si>
  <si>
    <t>Sound</t>
  </si>
  <si>
    <t>Capacitors</t>
  </si>
  <si>
    <t>Magnetic Fields</t>
  </si>
  <si>
    <t>Photoelectric Effect</t>
  </si>
  <si>
    <t>Atomic Models</t>
  </si>
  <si>
    <t>Radioactivity</t>
  </si>
  <si>
    <t>Semiconductors</t>
  </si>
  <si>
    <t>Logic Gates</t>
  </si>
  <si>
    <t>Analytic Geometry</t>
  </si>
  <si>
    <t>Complex Numbers</t>
  </si>
  <si>
    <t>Differential Equations</t>
  </si>
  <si>
    <t>Sequences and Series</t>
  </si>
  <si>
    <t>Quadratic Equations</t>
  </si>
  <si>
    <t>Polynomial Equations</t>
  </si>
  <si>
    <t>Domain and Range</t>
  </si>
  <si>
    <t>Inverse Functions</t>
  </si>
  <si>
    <t>Composition of Functions</t>
  </si>
  <si>
    <t>Transformations of Functions</t>
  </si>
  <si>
    <t>Trigonometric Identities</t>
  </si>
  <si>
    <t>Trigonometric Equations</t>
  </si>
  <si>
    <t>Law of Sines</t>
  </si>
  <si>
    <t>Law of Cosines</t>
  </si>
  <si>
    <t>Derivatives</t>
  </si>
  <si>
    <t>Applications of Derivatives</t>
  </si>
  <si>
    <t>Integrals</t>
  </si>
  <si>
    <t>Coordinate Geometry</t>
  </si>
  <si>
    <t>Conic Sections</t>
  </si>
  <si>
    <t>Straight Lines</t>
  </si>
  <si>
    <t>Circles</t>
  </si>
  <si>
    <t>Probability Rules</t>
  </si>
  <si>
    <t>Conditional Probability</t>
  </si>
  <si>
    <t>Binomial Distribution</t>
  </si>
  <si>
    <t>Measures of Central Tendency</t>
  </si>
  <si>
    <t>Measures of Dispersion</t>
  </si>
  <si>
    <t>Correlation and Regression</t>
  </si>
  <si>
    <t>Vector Addition</t>
  </si>
  <si>
    <t>Dot Product</t>
  </si>
  <si>
    <t>Cross Product</t>
  </si>
  <si>
    <t>Matrix Operations</t>
  </si>
  <si>
    <t>Inverse of a Matrix</t>
  </si>
  <si>
    <t>Eigenvalues and Eigenvectors</t>
  </si>
  <si>
    <t>Complex Number Algebra</t>
  </si>
  <si>
    <t>Polar Form of Complex Numbers</t>
  </si>
  <si>
    <t>De Moivre’s Theorem</t>
  </si>
  <si>
    <t>Roots of Complex Numbers</t>
  </si>
  <si>
    <t>First-order Differential Equations</t>
  </si>
  <si>
    <t>Second-order Differential Equations</t>
  </si>
  <si>
    <t>Applications of Differential Equations</t>
  </si>
  <si>
    <t>Arithmetic Progression</t>
  </si>
  <si>
    <t>Geometric Progression</t>
  </si>
  <si>
    <t>Harmonic Progression</t>
  </si>
  <si>
    <t>Binomial Theorem</t>
  </si>
  <si>
    <t>Modern Physics</t>
  </si>
  <si>
    <t>Gravitation</t>
  </si>
  <si>
    <t>Nuclear Physics</t>
  </si>
  <si>
    <t>Laws of Motion</t>
  </si>
  <si>
    <t>Work, Energy and Power</t>
  </si>
  <si>
    <t>Wave Propagation</t>
  </si>
  <si>
    <t>Interference of Waves</t>
  </si>
  <si>
    <t>Doppler Effect</t>
  </si>
  <si>
    <t>Reflection of Light</t>
  </si>
  <si>
    <t>Refraction of Light</t>
  </si>
  <si>
    <t>Lenses and Mirrors</t>
  </si>
  <si>
    <t>Diffraction of Light</t>
  </si>
  <si>
    <t>Electric Current</t>
  </si>
  <si>
    <t>Ohm’s Law and Resistance</t>
  </si>
  <si>
    <t>Kirchhoff’s Laws</t>
  </si>
  <si>
    <t>Force on a Current-Carrying Conductor</t>
  </si>
  <si>
    <t>Electromagnetic Induction</t>
  </si>
  <si>
    <t>AC and DC Circuits</t>
  </si>
  <si>
    <t>Relativity (basic concepts)</t>
  </si>
  <si>
    <t>Heat and Temperature</t>
  </si>
  <si>
    <t>Laws of Thermodynamics</t>
  </si>
  <si>
    <t>Gravitational Force</t>
  </si>
  <si>
    <t>Satellites and Orbits</t>
  </si>
  <si>
    <t>Nuclear Fission and Fusion</t>
  </si>
  <si>
    <t>Basic Concepts of Chemistry</t>
  </si>
  <si>
    <t>Atomic Structure</t>
  </si>
  <si>
    <t>Periodic Table</t>
  </si>
  <si>
    <t>Chemical Bonding</t>
  </si>
  <si>
    <t>States of Matter</t>
  </si>
  <si>
    <t>Chemical Equilibrium</t>
  </si>
  <si>
    <t>Redox Reactions</t>
  </si>
  <si>
    <t>Chemical Kinetics</t>
  </si>
  <si>
    <t>Solutions</t>
  </si>
  <si>
    <t>Electrochemistry</t>
  </si>
  <si>
    <t>Surface Chemistry</t>
  </si>
  <si>
    <t>Hydrogen</t>
  </si>
  <si>
    <t>The s-Block Element</t>
  </si>
  <si>
    <t>The p-Block Element</t>
  </si>
  <si>
    <t>The d-Block Element</t>
  </si>
  <si>
    <t>The f-Block Element</t>
  </si>
  <si>
    <t>Coordination Compounds</t>
  </si>
  <si>
    <t>Organic Chemistry Fundamentals</t>
  </si>
  <si>
    <t>Hydrocarbons</t>
  </si>
  <si>
    <t>Haloalkanes and Haloarenes</t>
  </si>
  <si>
    <t>Alcohols, Phenols, and Ethers</t>
  </si>
  <si>
    <t>Aldehydes, Ketones, and Carboxylic Acids</t>
  </si>
  <si>
    <t>Amines</t>
  </si>
  <si>
    <t>Biomolecules</t>
  </si>
  <si>
    <t>Polymers</t>
  </si>
  <si>
    <t>Chemistry in Everyday Life</t>
  </si>
  <si>
    <t>Environmental Chemistry</t>
  </si>
  <si>
    <t>Mole concept</t>
  </si>
  <si>
    <t>Stoichiometry</t>
  </si>
  <si>
    <t>Empirical and molecular formula</t>
  </si>
  <si>
    <t>Limiting reagent</t>
  </si>
  <si>
    <t>Bohr’s model</t>
  </si>
  <si>
    <t>Quantum numbers</t>
  </si>
  <si>
    <t>Electronic configuration</t>
  </si>
  <si>
    <t>Photoelectric effect</t>
  </si>
  <si>
    <t>Periodic trends</t>
  </si>
  <si>
    <t>Ionization energy</t>
  </si>
  <si>
    <t>Electronegativity</t>
  </si>
  <si>
    <t>Atomic radius</t>
  </si>
  <si>
    <t>Types of chemical bonds</t>
  </si>
  <si>
    <t>Hybridization</t>
  </si>
  <si>
    <t>Molecular orbital theory</t>
  </si>
  <si>
    <t>VSEPR theory</t>
  </si>
  <si>
    <t>Gas laws</t>
  </si>
  <si>
    <t>Kinetic molecular theory</t>
  </si>
  <si>
    <t>Liquefaction of gases</t>
  </si>
  <si>
    <t>Intermolecular forces</t>
  </si>
  <si>
    <t>First law of thermodynamics</t>
  </si>
  <si>
    <t>Enthalpy changes</t>
  </si>
  <si>
    <t>Hess’s law</t>
  </si>
  <si>
    <t>Entropy and spontaneity</t>
  </si>
  <si>
    <t>Le Chatelier’s principle</t>
  </si>
  <si>
    <t>Equilibrium constant</t>
  </si>
  <si>
    <t>Buffer solutions</t>
  </si>
  <si>
    <t>pH and indicators</t>
  </si>
  <si>
    <t>Oxidation number</t>
  </si>
  <si>
    <t>Balancing redox reactions</t>
  </si>
  <si>
    <t>Electrochemical series</t>
  </si>
  <si>
    <t>Applications of redox reactions</t>
  </si>
  <si>
    <t>Rate of reaction</t>
  </si>
  <si>
    <t>Factors affecting rate</t>
  </si>
  <si>
    <t>Order and molecularity</t>
  </si>
  <si>
    <t>Activation energy</t>
  </si>
  <si>
    <t>Concentration terms (molarity, molality)</t>
  </si>
  <si>
    <t>Colligative properties</t>
  </si>
  <si>
    <t>Raoult’s law</t>
  </si>
  <si>
    <t>Vapor pressure lowering</t>
  </si>
  <si>
    <t>Conductance of electrolytes</t>
  </si>
  <si>
    <t>Electrolysis</t>
  </si>
  <si>
    <t>Galvanic cells</t>
  </si>
  <si>
    <t>Nernst equation</t>
  </si>
  <si>
    <t>Adsorption</t>
  </si>
  <si>
    <t>Catalysis</t>
  </si>
  <si>
    <t>Colloids</t>
  </si>
  <si>
    <t>Isotopes of hydrogen</t>
  </si>
  <si>
    <t>Hydrides</t>
  </si>
  <si>
    <t>Water and its properties</t>
  </si>
  <si>
    <t>Peroxides</t>
  </si>
  <si>
    <t>Alkali metals</t>
  </si>
  <si>
    <t>Alkaline earth metals</t>
  </si>
  <si>
    <t>Biological importance of Ca and Mg</t>
  </si>
  <si>
    <t>General properties of s-block</t>
  </si>
  <si>
    <t>Group 13 elements</t>
  </si>
  <si>
    <t>Group 14 elements</t>
  </si>
  <si>
    <t>Group 15 elements</t>
  </si>
  <si>
    <t>Group 16 and 17 elements</t>
  </si>
  <si>
    <t>Transition metal characteristics</t>
  </si>
  <si>
    <t>Lanthanides</t>
  </si>
  <si>
    <t>Actinides</t>
  </si>
  <si>
    <t>Alloy formation</t>
  </si>
  <si>
    <t>Werner’s theory</t>
  </si>
  <si>
    <t>Nomenclature of coordination compounds</t>
  </si>
  <si>
    <t>Bonding in coordination complexes</t>
  </si>
  <si>
    <t>Applications of coordination compounds</t>
  </si>
  <si>
    <t>Classification of organic compounds</t>
  </si>
  <si>
    <t>Isomerism</t>
  </si>
  <si>
    <t>Nomenclature of organic compounds</t>
  </si>
  <si>
    <t>Reaction mechanisms</t>
  </si>
  <si>
    <t>Alkanes</t>
  </si>
  <si>
    <t>Alkenes</t>
  </si>
  <si>
    <t>Alkynes</t>
  </si>
  <si>
    <t>Aromatic hydrocarbons</t>
  </si>
  <si>
    <t>Preparation of haloalkanes</t>
  </si>
  <si>
    <t>Reactions of haloalkanes</t>
  </si>
  <si>
    <t>Aryl halides</t>
  </si>
  <si>
    <t>SN1 and SN2 mechanisms</t>
  </si>
  <si>
    <t>Preparation of alcohols</t>
  </si>
  <si>
    <t>Reactions of alcohols</t>
  </si>
  <si>
    <t>Phenols and ethers</t>
  </si>
  <si>
    <t>Properties of phenols</t>
  </si>
  <si>
    <t>Preparation of aldehydes</t>
  </si>
  <si>
    <t>Reactions of aldehydes</t>
  </si>
  <si>
    <t>Ketones and carboxylic acids</t>
  </si>
  <si>
    <t>Nucleophilic addition reactions</t>
  </si>
  <si>
    <t>Preparation of amines</t>
  </si>
  <si>
    <t>Reactions of amines</t>
  </si>
  <si>
    <t>Diazonium salts</t>
  </si>
  <si>
    <t>Uses of amines</t>
  </si>
  <si>
    <t>Carbohydrates</t>
  </si>
  <si>
    <t>Proteins</t>
  </si>
  <si>
    <t>Nucleic acids</t>
  </si>
  <si>
    <t>Vitamins</t>
  </si>
  <si>
    <t>Addition polymers</t>
  </si>
  <si>
    <t>Condensation polymers</t>
  </si>
  <si>
    <t>Biodegradable polymers</t>
  </si>
  <si>
    <t>Synthetic polymers</t>
  </si>
  <si>
    <t>Drugs and their classification</t>
  </si>
  <si>
    <t>Chemicals in food</t>
  </si>
  <si>
    <t>Cleansing agents</t>
  </si>
  <si>
    <t>Agrochemicals</t>
  </si>
  <si>
    <t>Air pollution</t>
  </si>
  <si>
    <t>Water pollution</t>
  </si>
  <si>
    <t>Green chemistry</t>
  </si>
  <si>
    <t>Waste management</t>
  </si>
  <si>
    <t xml:space="preserve">Diversity of Plants  </t>
  </si>
  <si>
    <t xml:space="preserve">Plant Anatomy  </t>
  </si>
  <si>
    <t xml:space="preserve">Plant Morphology  </t>
  </si>
  <si>
    <t xml:space="preserve">Cell Structure and Function  </t>
  </si>
  <si>
    <t xml:space="preserve">Plant Physiology  </t>
  </si>
  <si>
    <t xml:space="preserve">Plant Ecology  </t>
  </si>
  <si>
    <t xml:space="preserve">Genetics in Plants  </t>
  </si>
  <si>
    <t xml:space="preserve">Plant Evolution  </t>
  </si>
  <si>
    <t xml:space="preserve">Reproduction in Plants  </t>
  </si>
  <si>
    <t xml:space="preserve">Plant Classification  </t>
  </si>
  <si>
    <t xml:space="preserve">Economic Botany  </t>
  </si>
  <si>
    <t>Plant Biotechnology</t>
  </si>
  <si>
    <t xml:space="preserve">Algae and Bryophytes  </t>
  </si>
  <si>
    <t xml:space="preserve">Pteridophytes and Gymnosperms  </t>
  </si>
  <si>
    <t xml:space="preserve">Angiosperm Families  </t>
  </si>
  <si>
    <t xml:space="preserve">Tissues and Tissue Systems  </t>
  </si>
  <si>
    <t xml:space="preserve">Root, Stem, and Leaf Structure  </t>
  </si>
  <si>
    <t xml:space="preserve">Flower, Fruit, and Seed Morphology  </t>
  </si>
  <si>
    <t xml:space="preserve">Cell Organelles  </t>
  </si>
  <si>
    <t xml:space="preserve">Cell Division (Mitosis and Meiosis)  </t>
  </si>
  <si>
    <t xml:space="preserve">Photosynthesis  </t>
  </si>
  <si>
    <t xml:space="preserve">Respiration in Plants  </t>
  </si>
  <si>
    <t xml:space="preserve">Transpiration and Water Transport  </t>
  </si>
  <si>
    <t xml:space="preserve">Mineral Nutrition  </t>
  </si>
  <si>
    <t xml:space="preserve">Plant Hormones and Growth Regulators  </t>
  </si>
  <si>
    <t xml:space="preserve">Plant Responses to Stimuli  </t>
  </si>
  <si>
    <t xml:space="preserve">Ecosystem Dynamics  </t>
  </si>
  <si>
    <t xml:space="preserve">Plant Succession  </t>
  </si>
  <si>
    <t xml:space="preserve">Pollination Mechanisms  </t>
  </si>
  <si>
    <t xml:space="preserve">Fertilization and Embryo Development  </t>
  </si>
  <si>
    <t xml:space="preserve">Alternation of Generations  </t>
  </si>
  <si>
    <t xml:space="preserve">Mendelian Genetics in Plants  </t>
  </si>
  <si>
    <t xml:space="preserve">Chromosomes and Mutations  </t>
  </si>
  <si>
    <t xml:space="preserve">Plant Breeding Techniques  </t>
  </si>
  <si>
    <t xml:space="preserve">DNA Technology in Plants  </t>
  </si>
  <si>
    <t xml:space="preserve">Classification Systems (Artificial, Natural, Phylogenetic)  </t>
  </si>
  <si>
    <t xml:space="preserve">Medicinal Plants  </t>
  </si>
  <si>
    <t xml:space="preserve">Crop Plants and Agriculture  </t>
  </si>
  <si>
    <t xml:space="preserve">Industrial Uses of Plants  </t>
  </si>
  <si>
    <t xml:space="preserve">Tissue Culture  </t>
  </si>
  <si>
    <t>Genetically Modified Plants</t>
  </si>
  <si>
    <t xml:space="preserve">Introduction to Zoology  </t>
  </si>
  <si>
    <t xml:space="preserve">Cell Biology  </t>
  </si>
  <si>
    <t xml:space="preserve">Animal Tissues  </t>
  </si>
  <si>
    <t xml:space="preserve">Porifera and Coelenterata  </t>
  </si>
  <si>
    <t xml:space="preserve">Platyhelminthes and Nemathelminthes  </t>
  </si>
  <si>
    <t xml:space="preserve">Annelida  </t>
  </si>
  <si>
    <t xml:space="preserve">Arthropoda  </t>
  </si>
  <si>
    <t xml:space="preserve">Mollusca  </t>
  </si>
  <si>
    <t xml:space="preserve">Echinodermata  </t>
  </si>
  <si>
    <t xml:space="preserve">Chordata (Non-Chordates to Vertebrates)  </t>
  </si>
  <si>
    <t xml:space="preserve">Fishes and Amphibians  </t>
  </si>
  <si>
    <t xml:space="preserve">Reptiles, Birds, and Mammals  </t>
  </si>
  <si>
    <t xml:space="preserve">Digestive System  </t>
  </si>
  <si>
    <t xml:space="preserve">Respiratory System  </t>
  </si>
  <si>
    <t xml:space="preserve">Circulatory System  </t>
  </si>
  <si>
    <t xml:space="preserve">Excretory System  </t>
  </si>
  <si>
    <t xml:space="preserve">Nervous System  </t>
  </si>
  <si>
    <t xml:space="preserve">Endocrine System  </t>
  </si>
  <si>
    <t xml:space="preserve">Reproductive System  </t>
  </si>
  <si>
    <t xml:space="preserve">Genetics and Evolution  </t>
  </si>
  <si>
    <t xml:space="preserve">Ecology and Animal Behavior  </t>
  </si>
  <si>
    <t xml:space="preserve">Applied Zoology  </t>
  </si>
  <si>
    <t xml:space="preserve">Scope and branches of zoology  </t>
  </si>
  <si>
    <t xml:space="preserve">Importance of zoology in daily life  </t>
  </si>
  <si>
    <t xml:space="preserve">Cell structure and function  </t>
  </si>
  <si>
    <t xml:space="preserve">Cell cycle and division  </t>
  </si>
  <si>
    <t xml:space="preserve">Types and functions of animal tissues  </t>
  </si>
  <si>
    <t xml:space="preserve">Histological techniques  </t>
  </si>
  <si>
    <t xml:space="preserve">General characteristics of Porifera  </t>
  </si>
  <si>
    <t xml:space="preserve">Canal system in sponges  </t>
  </si>
  <si>
    <t xml:space="preserve">Polymorphism in Coelenterata  </t>
  </si>
  <si>
    <t xml:space="preserve">Life cycle of Obelia  </t>
  </si>
  <si>
    <t xml:space="preserve">Parasitic adaptations in flatworms  </t>
  </si>
  <si>
    <t xml:space="preserve">Diseases caused by helminths  </t>
  </si>
  <si>
    <t xml:space="preserve">Segmented body plan in Annelida  </t>
  </si>
  <si>
    <t xml:space="preserve">Economic importance of earthworms  </t>
  </si>
  <si>
    <t xml:space="preserve">General features of Arthropoda  </t>
  </si>
  <si>
    <t xml:space="preserve">Metamorphosis in insects  </t>
  </si>
  <si>
    <t xml:space="preserve">Pearl formation in mollusks  </t>
  </si>
  <si>
    <t xml:space="preserve">Economic importance of mollusks  </t>
  </si>
  <si>
    <t xml:space="preserve">Water vascular system in Echinodermata  </t>
  </si>
  <si>
    <t xml:space="preserve">Larval forms of echinoderms  </t>
  </si>
  <si>
    <t xml:space="preserve">Characteristics of Chordates  </t>
  </si>
  <si>
    <t xml:space="preserve">Differences between non-chordates and chordates  </t>
  </si>
  <si>
    <t xml:space="preserve">General features of Pisces  </t>
  </si>
  <si>
    <t xml:space="preserve">Amphibian adaptations  </t>
  </si>
  <si>
    <t xml:space="preserve">Characteristics of reptiles  </t>
  </si>
  <si>
    <t xml:space="preserve">Bird adaptations for flight  </t>
  </si>
  <si>
    <t xml:space="preserve">Mammalian characteristics  </t>
  </si>
  <si>
    <t xml:space="preserve">Structure of human digestive system  </t>
  </si>
  <si>
    <t xml:space="preserve">Enzymes and digestion  </t>
  </si>
  <si>
    <t xml:space="preserve">Respiration in animals  </t>
  </si>
  <si>
    <t xml:space="preserve">Mechanism of breathing in humans  </t>
  </si>
  <si>
    <t xml:space="preserve">Structure of human heart  </t>
  </si>
  <si>
    <t xml:space="preserve">Composition of blood  </t>
  </si>
  <si>
    <t xml:space="preserve">Excretion in humans  </t>
  </si>
  <si>
    <t xml:space="preserve">Structure of nephron  </t>
  </si>
  <si>
    <t xml:space="preserve">Parts of human nervous system  </t>
  </si>
  <si>
    <t xml:space="preserve">Reflex action and coordination  </t>
  </si>
  <si>
    <t xml:space="preserve">Endocrine glands and hormones  </t>
  </si>
  <si>
    <t xml:space="preserve">Disorders of endocrine system  </t>
  </si>
  <si>
    <t xml:space="preserve">Male reproductive system  </t>
  </si>
  <si>
    <t xml:space="preserve">Female reproductive system  </t>
  </si>
  <si>
    <t xml:space="preserve">Gametogenesis  </t>
  </si>
  <si>
    <t xml:space="preserve">Fertilization and development  </t>
  </si>
  <si>
    <t xml:space="preserve">Mendelian laws of inheritance  </t>
  </si>
  <si>
    <t xml:space="preserve">Chromosomal theory  </t>
  </si>
  <si>
    <t xml:space="preserve">Darwin’s theory of evolution  </t>
  </si>
  <si>
    <t xml:space="preserve">Modern synthetic theory  </t>
  </si>
  <si>
    <t xml:space="preserve">Ecosystem and energy flow  </t>
  </si>
  <si>
    <t xml:space="preserve">Population dynamics  </t>
  </si>
  <si>
    <t xml:space="preserve">Animal communication and behavior  </t>
  </si>
  <si>
    <t xml:space="preserve">Wildlife conservation  </t>
  </si>
  <si>
    <t xml:space="preserve">Poultry farming  </t>
  </si>
  <si>
    <t xml:space="preserve">Apiculture  </t>
  </si>
  <si>
    <t xml:space="preserve">Sericulture  </t>
  </si>
  <si>
    <t xml:space="preserve">Aquaculture  </t>
  </si>
  <si>
    <t>Reading Comprehension</t>
  </si>
  <si>
    <t>Writing Skills</t>
  </si>
  <si>
    <t>Grammar and Usage</t>
  </si>
  <si>
    <t>Vocabulary Development</t>
  </si>
  <si>
    <t>Literature</t>
  </si>
  <si>
    <t>Critical Thinking and Analysis</t>
  </si>
  <si>
    <t>Communication Skills</t>
  </si>
  <si>
    <t>Research and Presentation</t>
  </si>
  <si>
    <t>Passage Analysis</t>
  </si>
  <si>
    <t>Inference and Interpretation</t>
  </si>
  <si>
    <t>Summarizing</t>
  </si>
  <si>
    <t>Main Idea Identification</t>
  </si>
  <si>
    <t>Essay Writing</t>
  </si>
  <si>
    <t>Report Writing</t>
  </si>
  <si>
    <t>Creative Writing</t>
  </si>
  <si>
    <t>Letter and Application Writing</t>
  </si>
  <si>
    <t>Tenses</t>
  </si>
  <si>
    <t>Clauses and Phrases</t>
  </si>
  <si>
    <t>Active and Passive Voice</t>
  </si>
  <si>
    <t>Direct and Indirect Speech</t>
  </si>
  <si>
    <t>Synonyms and Antonyms</t>
  </si>
  <si>
    <t>Word Roots and Etymology</t>
  </si>
  <si>
    <t>Idioms and Phrases</t>
  </si>
  <si>
    <t>Contextual Vocabulary</t>
  </si>
  <si>
    <t>Prose Analysis</t>
  </si>
  <si>
    <t>Poetry Appreciation</t>
  </si>
  <si>
    <t>Drama and Plays</t>
  </si>
  <si>
    <t>Novel Study</t>
  </si>
  <si>
    <t>Argument Evaluation</t>
  </si>
  <si>
    <t>Bias and Perspective</t>
  </si>
  <si>
    <t>Comparative Analysis</t>
  </si>
  <si>
    <t>Logical Reasoning</t>
  </si>
  <si>
    <t>Public Speaking</t>
  </si>
  <si>
    <t>Debate Skills</t>
  </si>
  <si>
    <t>Listening Comprehension</t>
  </si>
  <si>
    <t>Interview Techniques</t>
  </si>
  <si>
    <t>Citation and Referencing</t>
  </si>
  <si>
    <t>Research Methodology</t>
  </si>
  <si>
    <t>Presentation Skills</t>
  </si>
  <si>
    <t>Academic Writing</t>
  </si>
  <si>
    <t>x=4</t>
  </si>
  <si>
    <t>x=8</t>
  </si>
  <si>
    <t>x=18</t>
  </si>
  <si>
    <t>Easy</t>
  </si>
  <si>
    <t>Algebra, Equations</t>
  </si>
  <si>
    <t>Solve the system of linear equations: 2x+y=7 and x-y=2.</t>
  </si>
  <si>
    <t>(3,1)</t>
  </si>
  <si>
    <t>(1,5)</t>
  </si>
  <si>
    <t>(4,3)</t>
  </si>
  <si>
    <t>(2,3)</t>
  </si>
  <si>
    <t>Using the elimination method, you can add the two equations together to eliminate the y variable: (2x+y)+(x-y)=7+2, which results in 3x=9. Dividing by 3 gives x=3. Substitute x=3 into the second equation: 3-y=2. Subtracting 3 from both sides gives -y=-1, so y=1. The solution is (3,1).</t>
  </si>
  <si>
    <t>Medium</t>
  </si>
  <si>
    <t>The perimeter of a rectangle is 24 cm. If the length is twice the width, what are the dimensions of the rectangle?</t>
  </si>
  <si>
    <t>4 cm by 8 cm</t>
  </si>
  <si>
    <t>6 cm by 6 cm</t>
  </si>
  <si>
    <t>5 cm by 7 cm</t>
  </si>
  <si>
    <t>3 cm by 9 cm</t>
  </si>
  <si>
    <t>Let the width be w and the length be l. We are given that l=2w. The formula for the perimeter is P=2l+2w. Substituting the given values: 24=2(2w)+2w, which simplifies to 24=4w+2w, or 24=6w. Dividing by 6, we get w=4 cm. Since l=2w, the length is 2×4=8 cm. The dimensions are 4 cm by 8 cm.</t>
  </si>
  <si>
    <t>Algebra, Word Problems</t>
  </si>
  <si>
    <t>Find the value of x for which the equation 5x-2=3(x+4) is true.</t>
  </si>
  <si>
    <t>x=7</t>
  </si>
  <si>
    <t>x=5</t>
  </si>
  <si>
    <t>x=3</t>
  </si>
  <si>
    <t>x=9</t>
  </si>
  <si>
    <t>First, distribute the 3 on the right side: 5x-2=3x+12. Next, subtract 3x from both sides: 2x-2=12. Add 2 to both sides: 2x=14. Finally, divide by 2: x=7.</t>
  </si>
  <si>
    <t>If the sum of two consecutive odd integers is 36, what is the larger of the two integers?</t>
  </si>
  <si>
    <t>Let the first odd integer be x. The next consecutive odd integer will be x+2. The sum is given as 36, so x+(x+2)=36. This simplifies to 2x+2=36. Subtract 2 from both sides: 2x=34. Divide by 2 to get x=17. The larger integer is x+2, which is 17+2=19.</t>
  </si>
  <si>
    <t>A force vector of magnitude 10 N is resolved into two components. If one component is at a 30° angle to the original vector and has a magnitude of 8 N, what is the angle of the second component relative to the original vector?</t>
  </si>
  <si>
    <t>45°</t>
  </si>
  <si>
    <t>60°</t>
  </si>
  <si>
    <t>90°</t>
  </si>
  <si>
    <t>75°</t>
  </si>
  <si>
    <t>Hard</t>
  </si>
  <si>
    <t>If 3x-5=13, what is the value of x?</t>
  </si>
  <si>
    <t>We can model this as a triangle with sides representing the force vectors. Let the original force be F, and the two components be F_1 and F_2. We have a triangle with sides F, F_1, and F_2. The angle between F and F_1 is 30°. Using the Law of Sines,  
sin(30°)
F_2
​
 = 
sin(θ_F,F_2)
F_1
​
 , where θ_F,F_2 is the angle between F and F_2. We need more information to solve this. Let's rephrase the question to make it solvable with Law of Sines. Let's consider a force triangle where two forces F_1=10N and F_2=15N have a resultant force of 20N. The angle between F_1 and the resultant is 30°. We can use the Law of Sines to find the angle between F_2 and the resultant.  
sin(30°)
15
​
 = 
sin(θ)
10
​
 . sin(θ)= 
15
10sin(30°)
​
 = 
15
10×0.5
​
 =1/3. This is a trigonometry application. The original question is too vague and I will provide a new one.</t>
  </si>
  <si>
    <t>x = 5</t>
  </si>
  <si>
    <t>1D motion</t>
  </si>
  <si>
    <t>2D Circular Motion</t>
  </si>
  <si>
    <t>2 D Projectile motion</t>
  </si>
  <si>
    <t>2D Simple Harmonic Motion</t>
  </si>
  <si>
    <t>x = 2</t>
  </si>
  <si>
    <t>x = 8</t>
  </si>
  <si>
    <t>x = 12</t>
  </si>
  <si>
    <t>Maths, Algebra</t>
  </si>
  <si>
    <t>Maths, Functions</t>
  </si>
  <si>
    <t>Maths, Trigonometry</t>
  </si>
  <si>
    <t>Simplify: sinÂ²(x) + cosÂ²(x)</t>
  </si>
  <si>
    <t>Maths, Calculus</t>
  </si>
  <si>
    <t>Maths, Analytic Geometry</t>
  </si>
  <si>
    <t>50 Hz</t>
  </si>
  <si>
    <t>200 Hz</t>
  </si>
  <si>
    <t>100 Hz</t>
  </si>
  <si>
    <t>150 Hz</t>
  </si>
  <si>
    <t>Physics, Sound</t>
  </si>
  <si>
    <t>20 units</t>
  </si>
  <si>
    <t>30 units</t>
  </si>
  <si>
    <t>10 units</t>
  </si>
  <si>
    <t>40 units</t>
  </si>
  <si>
    <t>2.0 m</t>
  </si>
  <si>
    <t>0.5 m</t>
  </si>
  <si>
    <t>1.5 m</t>
  </si>
  <si>
    <t>1.0 m</t>
  </si>
  <si>
    <t>Physics, Optics</t>
  </si>
  <si>
    <t>Find the critical angle for total internal reflection</t>
  </si>
  <si>
    <t>Find the image position for a concave mirror</t>
  </si>
  <si>
    <t>Calculate the path difference for constructive interference</t>
  </si>
  <si>
    <t>Physics, Electricity</t>
  </si>
  <si>
    <t>What is the time constant of an RC circuit?</t>
  </si>
  <si>
    <t>Physics, Magnetism</t>
  </si>
  <si>
    <t>Calculate the radius of circular motion in magnetic field</t>
  </si>
  <si>
    <t>Find the magnetic field inside a solenoid</t>
  </si>
  <si>
    <t>What is the self-inductance of a coil?</t>
  </si>
  <si>
    <t>Calculate the energy stored in an inductor</t>
  </si>
  <si>
    <t>Physics, Electromagnetism</t>
  </si>
  <si>
    <t>Calculate the power radiated by accelerating charge</t>
  </si>
  <si>
    <t>100 kJ/mol</t>
  </si>
  <si>
    <t>75 kJ/mol</t>
  </si>
  <si>
    <t>50 kJ/mol</t>
  </si>
  <si>
    <t>25 kJ/mol</t>
  </si>
  <si>
    <t>Chemistry, Thermodynamics</t>
  </si>
  <si>
    <t>What is the efficiency of a Carnot engine?</t>
  </si>
  <si>
    <t>What is the phase transition temperature?</t>
  </si>
  <si>
    <t>Calculate the standard enthalpy of formation</t>
  </si>
  <si>
    <t>Chemistry, Chemical Equilibrium</t>
  </si>
  <si>
    <t>Calculate the reaction quotient Q</t>
  </si>
  <si>
    <t>What is the effect on equilibrium if pressure increases?</t>
  </si>
  <si>
    <t>Calculate the degree of dissociation</t>
  </si>
  <si>
    <t>What is the equilibrium constant for reverse reaction?</t>
  </si>
  <si>
    <t>Calculate the concentration after adding reactant</t>
  </si>
  <si>
    <t>Balance the redox equation</t>
  </si>
  <si>
    <t>Chemistry, Redox Reactions</t>
  </si>
  <si>
    <t>Find the oxidation number of element in compound</t>
  </si>
  <si>
    <t>Calculate the equivalent weight</t>
  </si>
  <si>
    <t>What is the cell potential?</t>
  </si>
  <si>
    <t>Find the number of electrons transferred</t>
  </si>
  <si>
    <t>Calculate the standard free energy change</t>
  </si>
  <si>
    <t>What is the equilibrium constant from cell potential?</t>
  </si>
  <si>
    <t>Find the pH at equivalence point</t>
  </si>
  <si>
    <t>Calculate the current required for electroplating</t>
  </si>
  <si>
    <t>What is the overpotential?</t>
  </si>
  <si>
    <t>Calculate the rate constant for first-order reaction</t>
  </si>
  <si>
    <t>Chemistry, Chemical Kinetics</t>
  </si>
  <si>
    <t>What is the activation energy?</t>
  </si>
  <si>
    <t>What is the order with respect to reactant?</t>
  </si>
  <si>
    <t>Find the rate constant from initial rate data</t>
  </si>
  <si>
    <t>What is the integrated rate law?</t>
  </si>
  <si>
    <t>Calculate the concentration-time profile</t>
  </si>
  <si>
    <t>0.5 M</t>
  </si>
  <si>
    <t>2.0 M</t>
  </si>
  <si>
    <t>0.1 M</t>
  </si>
  <si>
    <t>1.0 M</t>
  </si>
  <si>
    <t>Chemistry, Solutions</t>
  </si>
  <si>
    <t>Find the boiling point elevation</t>
  </si>
  <si>
    <t>What is the freezing point depression?</t>
  </si>
  <si>
    <t>Calculate the vapor pressure lowering</t>
  </si>
  <si>
    <t>Find the concentration in ppm</t>
  </si>
  <si>
    <t>Calculate the buffer pH</t>
  </si>
  <si>
    <t>Identify the type of leaf venation in dicots</t>
  </si>
  <si>
    <t>Plant Morphology</t>
  </si>
  <si>
    <t>Reticulate venation</t>
  </si>
  <si>
    <t>Parallel venation</t>
  </si>
  <si>
    <t>Palmate venation</t>
  </si>
  <si>
    <t>Pinnate venation</t>
  </si>
  <si>
    <t>This question tests understanding of plant structure and anatomy. Knowledge of plant organs, tissues, and their functions is essential. The correct answer is Parallel venation.</t>
  </si>
  <si>
    <t>Botany, Plant Morphology</t>
  </si>
  <si>
    <t>What is the function of stomata in leaves?</t>
  </si>
  <si>
    <t>Store nutrients for the plant</t>
  </si>
  <si>
    <t>Absorb sunlight for photosynthesis</t>
  </si>
  <si>
    <t>Regulate gas exchange and transpiration</t>
  </si>
  <si>
    <t>Provide structural support</t>
  </si>
  <si>
    <t>This question tests understanding of plant structure and anatomy. Knowledge of plant organs, tissues, and their functions is essential. The correct answer is Regulate gas exchange and transpiration.</t>
  </si>
  <si>
    <t>Describe the structure of a typical flower</t>
  </si>
  <si>
    <t>Guard cells and subsidiary cells</t>
  </si>
  <si>
    <t>Xylem and phloem</t>
  </si>
  <si>
    <t>Epidermis and cortex</t>
  </si>
  <si>
    <t>Palisade and spongy mesophyll</t>
  </si>
  <si>
    <t>This question tests understanding of plant structure and anatomy. Knowledge of plant organs, tissues, and their functions is essential. The correct answer is Epidermis and cortex.</t>
  </si>
  <si>
    <t>What are the different types of root systems?</t>
  </si>
  <si>
    <t>Simple and compound root systems</t>
  </si>
  <si>
    <t>Aerial and aquatic root systems</t>
  </si>
  <si>
    <t>Taproot and fibrous root systems</t>
  </si>
  <si>
    <t>Primary and secondary root systems</t>
  </si>
  <si>
    <t>This question tests understanding of plant structure and anatomy. Knowledge of plant organs, tissues, and their functions is essential. The correct answer is Taproot and fibrous root systems.</t>
  </si>
  <si>
    <t>How do compound leaves differ from simple leaves?</t>
  </si>
  <si>
    <t>What is the role of the epidermis in plants?</t>
  </si>
  <si>
    <t>Identify the parts of a seed</t>
  </si>
  <si>
    <t>What are the modifications of stems?</t>
  </si>
  <si>
    <t>How do thorns differ from spines?</t>
  </si>
  <si>
    <t>What is the significance of leaf arrangement?</t>
  </si>
  <si>
    <t>Explain the process of photosynthesis</t>
  </si>
  <si>
    <t>Plant Physiology</t>
  </si>
  <si>
    <t>Cellular respiration in mitochondria</t>
  </si>
  <si>
    <t>Protein synthesis in ribosomes</t>
  </si>
  <si>
    <t>Light and dark reactions in chloroplasts</t>
  </si>
  <si>
    <t>Water transport in xylem</t>
  </si>
  <si>
    <t>This question examines plant metabolic processes and functions. Understanding biochemical pathways and physiological mechanisms leads to Light and dark reactions in chloroplasts.</t>
  </si>
  <si>
    <t>Botany, Plant Physiology</t>
  </si>
  <si>
    <t>What factors affect the rate of transpiration?</t>
  </si>
  <si>
    <t>Soil pH, nitrogen content, phosphorus, potassium</t>
  </si>
  <si>
    <t>Temperature, humidity, wind, light intensity</t>
  </si>
  <si>
    <t>Cell division, cell elongation, cell differentiation</t>
  </si>
  <si>
    <t>Germination, flowering, fruiting, senescence</t>
  </si>
  <si>
    <t>This question examines plant metabolic processes and functions. Understanding biochemical pathways and physiological mechanisms leads to Temperature, humidity, wind, light intensity.</t>
  </si>
  <si>
    <t>How do plants transport water and minerals?</t>
  </si>
  <si>
    <t>Chlorophyll a, chlorophyll b, carotenoids, anthocyanins</t>
  </si>
  <si>
    <t>Glucose, fructose, sucrose, starch</t>
  </si>
  <si>
    <t>Auxins, gibberellins, cytokinins, abscisic acid</t>
  </si>
  <si>
    <t>Cellulose, lignin, pectin, hemicellulose</t>
  </si>
  <si>
    <t>This question examines plant metabolic processes and functions. Understanding biochemical pathways and physiological mechanisms leads to Auxins, gibberellins, cytokinins, abscisic acid.</t>
  </si>
  <si>
    <t>What is the role of phytohormones?</t>
  </si>
  <si>
    <t>How does respiration occur in plants?</t>
  </si>
  <si>
    <t>What is the mechanism of stomatal movement?</t>
  </si>
  <si>
    <t>How do plants respond to light stimuli?</t>
  </si>
  <si>
    <t>What is the significance of photoperiodism?</t>
  </si>
  <si>
    <t>How do plants adapt to water stress?</t>
  </si>
  <si>
    <t>What are the stages of seed germination?</t>
  </si>
  <si>
    <t>What are the components of an ecosystem?</t>
  </si>
  <si>
    <t>Plant Ecology</t>
  </si>
  <si>
    <t>Nitrogen fixation, carbon sequestration, soil formation</t>
  </si>
  <si>
    <t>Producers, consumers, decomposers, abiotic factors</t>
  </si>
  <si>
    <t>Primary succession, secondary succession, climax community</t>
  </si>
  <si>
    <t>Mutualism, parasitism, commensalism, competition</t>
  </si>
  <si>
    <t>This question focuses on plant-environment interactions and ecological relationships. Considering environmental factors and adaptations gives us Producers, consumers, decomposers, abiotic factors.</t>
  </si>
  <si>
    <t>Botany, Plant Ecology</t>
  </si>
  <si>
    <t>How do plants adapt to different environments?</t>
  </si>
  <si>
    <t>What is the role of plants in the carbon cycle?</t>
  </si>
  <si>
    <t>How do plants compete for resources?</t>
  </si>
  <si>
    <t>What are the effects of pollution on plants?</t>
  </si>
  <si>
    <t>How do plants contribute to soil formation?</t>
  </si>
  <si>
    <t>What is plant succession?</t>
  </si>
  <si>
    <t>How do plants interact with other organisms?</t>
  </si>
  <si>
    <t>What are the adaptations of desert plants?</t>
  </si>
  <si>
    <t>How do plants respond to climate change?</t>
  </si>
  <si>
    <t>What are Mendel's laws of inheritance?</t>
  </si>
  <si>
    <t>Genetics in Plants</t>
  </si>
  <si>
    <t>Law of mutation and natural selection</t>
  </si>
  <si>
    <t>Law of segregation and independent assortment</t>
  </si>
  <si>
    <t>Law of dominance and codominance</t>
  </si>
  <si>
    <t>Law of linkage and crossing over</t>
  </si>
  <si>
    <t>This question tests knowledge of plant heredity and genetic principles. Understanding inheritance patterns and molecular genetics supports Law of segregation and independent assortment.</t>
  </si>
  <si>
    <t>Botany, Genetics in Plants</t>
  </si>
  <si>
    <t>How do genes control plant characteristics?</t>
  </si>
  <si>
    <t>Genotype, phenotype, allele, chromosome</t>
  </si>
  <si>
    <t>DNA replication, transcription, translation</t>
  </si>
  <si>
    <t>Mitosis, meiosis, fertilization, development</t>
  </si>
  <si>
    <t>Dominant, recessive, codominant, incomplete dominant</t>
  </si>
  <si>
    <t>This question tests knowledge of plant heredity and genetic principles. Understanding inheritance patterns and molecular genetics supports DNA replication, transcription, translation.</t>
  </si>
  <si>
    <t>What is the difference between genotype and phenotype?</t>
  </si>
  <si>
    <t>How does crossing over affect genetic variation?</t>
  </si>
  <si>
    <t>What are the applications of plant breeding?</t>
  </si>
  <si>
    <t>How do mutations affect plant evolution?</t>
  </si>
  <si>
    <t>What is the role of DNA in heredity?</t>
  </si>
  <si>
    <t>How do environmental factors influence gene expression?</t>
  </si>
  <si>
    <t>What are the principles of genetic engineering?</t>
  </si>
  <si>
    <t>How is genetic diversity maintained in populations?</t>
  </si>
  <si>
    <t>What is the earliest evidence of plant life?</t>
  </si>
  <si>
    <t>Plant Evolution</t>
  </si>
  <si>
    <t>Gymnosperms evolved seeds</t>
  </si>
  <si>
    <t>Angiosperms developed flowers and fruits</t>
  </si>
  <si>
    <t>Pteridophytes developed vascular tissue</t>
  </si>
  <si>
    <t>Bryophytes evolved first from algae</t>
  </si>
  <si>
    <t>This question examines evolutionary history and adaptations in plants. Knowledge of phylogeny and evolutionary trends leads to Bryophytes evolved first from algae.</t>
  </si>
  <si>
    <t>Botany, Plant Evolution</t>
  </si>
  <si>
    <t>How did plants evolve from aquatic to terrestrial?</t>
  </si>
  <si>
    <t>What are the major evolutionary trends in plants?</t>
  </si>
  <si>
    <t>How did the seed habit evolve?</t>
  </si>
  <si>
    <t>What is the significance of flower evolution?</t>
  </si>
  <si>
    <t>How do fossil records support plant evolution?</t>
  </si>
  <si>
    <t>What are the evolutionary relationships among plant groups?</t>
  </si>
  <si>
    <t>How did vascular tissue evolve?</t>
  </si>
  <si>
    <t>What drove the evolution of different reproductive strategies?</t>
  </si>
  <si>
    <t>How do molecular studies support plant phylogeny?</t>
  </si>
  <si>
    <t>What are the components of a typical animal cell?</t>
  </si>
  <si>
    <t>Cell Biology</t>
  </si>
  <si>
    <t>Nucleus, mitochondria, ER, Golgi apparatus</t>
  </si>
  <si>
    <t>Membrane, cytoskeleton, centrioles, chromatin</t>
  </si>
  <si>
    <t>Cell wall, chloroplasts, vacuole, nucleus</t>
  </si>
  <si>
    <t>Cytoplasm, ribosomes, lysosomes, peroxisomes</t>
  </si>
  <si>
    <t>This question tests understanding of cellular structure and function in animals. Knowledge of organelles and cellular processes supports Nucleus, mitochondria, ER, Golgi apparatus.</t>
  </si>
  <si>
    <t>Zoology, Cell Biology</t>
  </si>
  <si>
    <t>How does mitosis differ from meiosis?</t>
  </si>
  <si>
    <t>Crossing over, synapsis, chiasmata, recombination</t>
  </si>
  <si>
    <t>Interphase, S phase, G1 phase, G2 phase</t>
  </si>
  <si>
    <t>Leptotene, zygotene, pachytene, diplotene</t>
  </si>
  <si>
    <t>Prophase, metaphase, anaphase, telophase</t>
  </si>
  <si>
    <t>This question tests understanding of cellular structure and function in animals. Knowledge of organelles and cellular processes supports Prophase, metaphase, anaphase, telophase.</t>
  </si>
  <si>
    <t>What is the function of mitochondria?</t>
  </si>
  <si>
    <t>ATP production and cellular respiration</t>
  </si>
  <si>
    <t>Protein synthesis and ribosome assembly</t>
  </si>
  <si>
    <t>Membrane transport and signaling</t>
  </si>
  <si>
    <t>DNA replication and repair</t>
  </si>
  <si>
    <t>This question tests understanding of cellular structure and function in animals. Knowledge of organelles and cellular processes supports ATP production and cellular respiration.</t>
  </si>
  <si>
    <t>How do cells communicate with each other?</t>
  </si>
  <si>
    <t>What are the stages of the cell cycle?</t>
  </si>
  <si>
    <t>How does protein synthesis occur?</t>
  </si>
  <si>
    <t>What is the role of the endoplasmic reticulum?</t>
  </si>
  <si>
    <t>How do enzymes catalyze biochemical reactions?</t>
  </si>
  <si>
    <t>What are the functions of the Golgi apparatus?</t>
  </si>
  <si>
    <t>How do cells maintain homeostasis?</t>
  </si>
  <si>
    <t>What are the four basic types of animal tissues?</t>
  </si>
  <si>
    <t>Animal Tissues</t>
  </si>
  <si>
    <t>Epithelial, connective, muscle, nervous</t>
  </si>
  <si>
    <t>Simple, compound, stratified, pseudostratified</t>
  </si>
  <si>
    <t>Loose, dense, cartilage, bone</t>
  </si>
  <si>
    <t>Skeletal, cardiac, smooth, voluntary</t>
  </si>
  <si>
    <t>This question examines tissue organization and function in animals. Understanding tissue types and their roles leads to Epithelial, connective, muscle, nervous.</t>
  </si>
  <si>
    <t>Zoology, Animal Tissues</t>
  </si>
  <si>
    <t>How does epithelial tissue provide protection?</t>
  </si>
  <si>
    <t>What are the functions of connective tissue?</t>
  </si>
  <si>
    <t>How does muscle tissue enable movement?</t>
  </si>
  <si>
    <t>What is the role of nervous tissue?</t>
  </si>
  <si>
    <t>How are tissues organized into organs?</t>
  </si>
  <si>
    <t>What are the different types of muscle tissue?</t>
  </si>
  <si>
    <t>How does blood function as a connective tissue?</t>
  </si>
  <si>
    <t>What are the characteristics of nerve cells?</t>
  </si>
  <si>
    <t>How do tissues repair themselves after injury?</t>
  </si>
  <si>
    <t>What are the main organs of the digestive system?</t>
  </si>
  <si>
    <t>Digestive System</t>
  </si>
  <si>
    <t>Absorption, digestion, elimination, metabolism</t>
  </si>
  <si>
    <t>Liver, pancreas, gallbladder, appendix</t>
  </si>
  <si>
    <t>Mouth, esophagus, stomach, small intestine, large intestine</t>
  </si>
  <si>
    <t>Mechanical and chemical breakdown of food</t>
  </si>
  <si>
    <t>This question focuses on digestion and nutrient processing. Knowledge of digestive anatomy and physiology gives us Mouth, esophagus, stomach, small intestine, large intestine.</t>
  </si>
  <si>
    <t>Zoology, Digestive System</t>
  </si>
  <si>
    <t>How does mechanical digestion occur?</t>
  </si>
  <si>
    <t>What enzymes are involved in protein digestion?</t>
  </si>
  <si>
    <t>Pepsin, trypsin, chymotrypsin, elastase</t>
  </si>
  <si>
    <t>Lipase, phospholipase, cholesterol esterase</t>
  </si>
  <si>
    <t>Carboxypeptidase, aminopeptidase, dipeptidase</t>
  </si>
  <si>
    <t>Amylase, maltase, sucrase, lactase</t>
  </si>
  <si>
    <t>This question focuses on digestion and nutrient processing. Knowledge of digestive anatomy and physiology gives us Pepsin, trypsin, chymotrypsin, elastase.</t>
  </si>
  <si>
    <t>How are lipids digested and absorbed?</t>
  </si>
  <si>
    <t>What is the role of the liver in digestion?</t>
  </si>
  <si>
    <t>How does the small intestine maximize absorption?</t>
  </si>
  <si>
    <t>What are the functions of the large intestine?</t>
  </si>
  <si>
    <t>How is digestion regulated by hormones?</t>
  </si>
  <si>
    <t>What are common digestive disorders?</t>
  </si>
  <si>
    <t>How do different animals digest cellulose?</t>
  </si>
  <si>
    <t>What is the primary function of the respiratory system?</t>
  </si>
  <si>
    <t>Respiratory System</t>
  </si>
  <si>
    <t>Cerebral cortex monitors carbon dioxide</t>
  </si>
  <si>
    <t>Hypothalamus regulates oxygen levels</t>
  </si>
  <si>
    <t>Medulla oblongata controls breathing rhythm</t>
  </si>
  <si>
    <t>Cerebellum coordinates respiratory muscles</t>
  </si>
  <si>
    <t>This question tests understanding of gas exchange and respiratory function. Knowledge of respiratory anatomy and mechanisms supports Medulla oblongata controls breathing rhythm.</t>
  </si>
  <si>
    <t>Zoology, Respiratory System</t>
  </si>
  <si>
    <t>How does gas exchange occur in the lungs?</t>
  </si>
  <si>
    <t>Facilitated diffusion via protein channels</t>
  </si>
  <si>
    <t>Osmosis through respiratory mucosa</t>
  </si>
  <si>
    <t>Active transport through lung epithelium</t>
  </si>
  <si>
    <t>Diffusion across alveolar-capillary membrane</t>
  </si>
  <si>
    <t>This question tests understanding of gas exchange and respiratory function. Knowledge of respiratory anatomy and mechanisms supports Diffusion across alveolar-capillary membrane.</t>
  </si>
  <si>
    <t>What controls the rate of breathing?</t>
  </si>
  <si>
    <t>How is oxygen transported in blood?</t>
  </si>
  <si>
    <t>What happens during inspiration and expiration?</t>
  </si>
  <si>
    <t>How do gills function in fish?</t>
  </si>
  <si>
    <t>What are the adaptations for high-altitude breathing?</t>
  </si>
  <si>
    <t>How does the respiratory system maintain pH?</t>
  </si>
  <si>
    <t>What are the effects of smoking on respiration?</t>
  </si>
  <si>
    <t>How do insects breathe through tracheal systems?</t>
  </si>
  <si>
    <t>What are the components of the circulatory system?</t>
  </si>
  <si>
    <t>Circulatory System</t>
  </si>
  <si>
    <t>Arteries carry oxygenated blood from heart</t>
  </si>
  <si>
    <t>Systemic and pulmonary circulation</t>
  </si>
  <si>
    <t>Veins return deoxygenated blood to heart</t>
  </si>
  <si>
    <t>Heart, blood vessels, blood, lymphatic system</t>
  </si>
  <si>
    <t>This question examines blood circulation and cardiovascular function. Understanding heart structure and blood flow leads to Heart, blood vessels, blood, lymphatic system.</t>
  </si>
  <si>
    <t>Zoology, Circulatory System</t>
  </si>
  <si>
    <t>How does the heart pump blood?</t>
  </si>
  <si>
    <t>What is the difference between arteries and veins?</t>
  </si>
  <si>
    <t>How is blood pressure regulated?</t>
  </si>
  <si>
    <t>What are the functions of blood?</t>
  </si>
  <si>
    <t>How does the lymphatic system work?</t>
  </si>
  <si>
    <t>What causes heart disease?</t>
  </si>
  <si>
    <t>How do different animals have different circulatory systems?</t>
  </si>
  <si>
    <t>What is the role of blood clotting?</t>
  </si>
  <si>
    <t>How does exercise affect circulation?</t>
  </si>
  <si>
    <t>What is the main idea of the passage?</t>
  </si>
  <si>
    <t>Context clues and vocabulary</t>
  </si>
  <si>
    <t>Inference and implicit meaning</t>
  </si>
  <si>
    <t>Main idea and supporting details</t>
  </si>
  <si>
    <t>Author's purpose and tone</t>
  </si>
  <si>
    <t>This English question tests language comprehension and analytical skills. Careful analysis of the text and language rules supports Main idea and supporting details.</t>
  </si>
  <si>
    <t>English, Reading Comprehension</t>
  </si>
  <si>
    <t>How does the author support their argument?</t>
  </si>
  <si>
    <t>What can be inferred from the text?</t>
  </si>
  <si>
    <t>What is the tone of the passage?</t>
  </si>
  <si>
    <t>How do the details relate to the main theme?</t>
  </si>
  <si>
    <t>What is the author's purpose in writing?</t>
  </si>
  <si>
    <t>How does the conclusion connect to the introduction?</t>
  </si>
  <si>
    <t>What evidence supports the claim?</t>
  </si>
  <si>
    <t>How does context affect meaning?</t>
  </si>
  <si>
    <t>What are the implied meanings in the text?</t>
  </si>
  <si>
    <t>How do you structure an effective essay?</t>
  </si>
  <si>
    <t>Literary devices and figurative language</t>
  </si>
  <si>
    <t>Historical and cultural context</t>
  </si>
  <si>
    <t>Character development and plot structure</t>
  </si>
  <si>
    <t>Theme and symbolic meaning</t>
  </si>
  <si>
    <t>This English question tests language comprehension and analytical skills. Careful analysis of the text and language rules supports Literary devices and figurative language.</t>
  </si>
  <si>
    <t>English, Writing Skills</t>
  </si>
  <si>
    <t>What makes a strong thesis statement?</t>
  </si>
  <si>
    <t>How do you develop supporting paragraphs?</t>
  </si>
  <si>
    <t>What are effective transition words?</t>
  </si>
  <si>
    <t>How do you write a compelling introduction?</t>
  </si>
  <si>
    <t>What elements make a strong conclusion?</t>
  </si>
  <si>
    <t>How do you maintain coherence in writing?</t>
  </si>
  <si>
    <t>What is the importance of audience awareness?</t>
  </si>
  <si>
    <t>How do you revise and edit effectively?</t>
  </si>
  <si>
    <t>What are different writing styles and their uses?</t>
  </si>
  <si>
    <t>What is the difference between active and passive voice?</t>
  </si>
  <si>
    <t>Simple vs. complex sentence structure</t>
  </si>
  <si>
    <t>Subject performs action vs. subject receives action</t>
  </si>
  <si>
    <t>Present tense vs. past tense usage</t>
  </si>
  <si>
    <t>Formal vs. informal writing style</t>
  </si>
  <si>
    <t>This English question tests language comprehension and analytical skills. Careful analysis of the text and language rules supports Subject performs action vs. subject receives action.</t>
  </si>
  <si>
    <t>English, Grammar and Usage</t>
  </si>
  <si>
    <t>How do you use commas correctly?</t>
  </si>
  <si>
    <t>Pronoun-antecedent agreement</t>
  </si>
  <si>
    <t>Subject-verb agreement rules</t>
  </si>
  <si>
    <t>Parallel structure requirements</t>
  </si>
  <si>
    <t>Comma splice and run-on sentences</t>
  </si>
  <si>
    <t>This English question tests language comprehension and analytical skills. Careful analysis of the text and language rules supports Subject-verb agreement rules.</t>
  </si>
  <si>
    <t>What are the rules for subject-verb agreement?</t>
  </si>
  <si>
    <t>When do you use who vs. whom?</t>
  </si>
  <si>
    <t>How do you form proper parallel structure?</t>
  </si>
  <si>
    <t>What are the different types of sentences?</t>
  </si>
  <si>
    <t>How do you use apostrophes correctly?</t>
  </si>
  <si>
    <t>What is the difference between affect and effect?</t>
  </si>
  <si>
    <t>How do you avoid run-on sentences?</t>
  </si>
  <si>
    <t>What are the rules for pronoun agreement?</t>
  </si>
  <si>
    <t>How do you determine word meaning from context?</t>
  </si>
  <si>
    <t>English, Vocabulary Development</t>
  </si>
  <si>
    <t>What are common word roots and their meanings?</t>
  </si>
  <si>
    <t>How do prefixes change word meanings?</t>
  </si>
  <si>
    <t>What are effective strategies for learning vocabulary?</t>
  </si>
  <si>
    <t>How do you distinguish between similar words?</t>
  </si>
  <si>
    <t>What is the importance of connotation vs. denotation?</t>
  </si>
  <si>
    <t>How do you build academic vocabulary?</t>
  </si>
  <si>
    <t>What are common etymology patterns?</t>
  </si>
  <si>
    <t>How do you use new vocabulary effectively?</t>
  </si>
  <si>
    <t>What are strategies for remembering new words?</t>
  </si>
  <si>
    <t>What are the major literary genres?</t>
  </si>
  <si>
    <t>English, Literature</t>
  </si>
  <si>
    <t>How do you analyze character development?</t>
  </si>
  <si>
    <t>What are common literary devices and their effects?</t>
  </si>
  <si>
    <t>How does setting influence a story?</t>
  </si>
  <si>
    <t>What is the difference between theme and plot?</t>
  </si>
  <si>
    <t>How do you analyze poetry?</t>
  </si>
  <si>
    <t>What are the elements of dramatic structure?</t>
  </si>
  <si>
    <t>How do historical contexts affect literature?</t>
  </si>
  <si>
    <t>What makes literature culturally significant?</t>
  </si>
  <si>
    <t>How do you compare different literary works?</t>
  </si>
  <si>
    <t>Solve for x: 4x + 8 = 14</t>
  </si>
  <si>
    <t>To solve this linear equation, isolate the variable x by performing inverse operations on both sides. First, add or subtract the constant term, then divide by the coefficient of x. Work step by step: rearrange terms, combine like terms, then divide to find x = x = 2.</t>
  </si>
  <si>
    <t>If 13x - 11 = 25, what is the value of x?</t>
  </si>
  <si>
    <t>Apply algebraic principles: isolate variables, perform inverse operations, and simplify step by step. The answer is x = 2.</t>
  </si>
  <si>
    <t>Simplify the expression: 12x + 1 - 15x + 6</t>
  </si>
  <si>
    <t>Apply algebraic principles: isolate variables, perform inverse operations, and simplify step by step. The answer is 15.</t>
  </si>
  <si>
    <t>Find the value of x in the equation: 11(x + 14) = 18</t>
  </si>
  <si>
    <t>Solve the system: 4x + 9y = 23 and 10x - 4y = 1</t>
  </si>
  <si>
    <t>To solve this system of linear equations, use either substitution or elimination method. Elimination: add/subtract equations to eliminate one variable, solve for the remaining variable, then substitute back to find the other variable. The solution is 15.</t>
  </si>
  <si>
    <t>Factor the expression: xÂ² + 17x + 8</t>
  </si>
  <si>
    <t>To factor this quadratic expression, look for two numbers that multiply to give the constant term and add to give the coefficient of the linear term. Use the factored form (x + a)(x + b) where a and b are these numbers. The answer is 15.</t>
  </si>
  <si>
    <t>If x = 20, find the value of 5xÂ² + 15x + 7</t>
  </si>
  <si>
    <t>Solve for y: 15y + 6 = 16y - 10</t>
  </si>
  <si>
    <t>What is the slope of the line 19x + 11y = 14?</t>
  </si>
  <si>
    <t>To find the slope from the standard form Ax + By = C, rearrange to slope-intercept form y = mx + b, where m is the slope. The slope is -A/B. Therefore, the slope is -2/3.</t>
  </si>
  <si>
    <t>Expand: (17x + 14)(21x + 10)</t>
  </si>
  <si>
    <t>If f(x) = 14x + 1, find f(7)</t>
  </si>
  <si>
    <t>To evaluate f(x) at a specific value, substitute the given x-value into the function expression. Replace every x with the given number and perform the arithmetic operations in order. This gives f(value) = 15.</t>
  </si>
  <si>
    <t>What is the domain of f(x) = 1/(x - 1)?</t>
  </si>
  <si>
    <t>To find the domain, identify values of x that make the function undefined. For rational functions, exclude values that make the denominator zero. For this function, x cannot equal the value that makes the denominator zero. Domain: 15.</t>
  </si>
  <si>
    <t>Find the inverse of f(x) = 9x + 10</t>
  </si>
  <si>
    <t>To find the inverse function: (1) Replace f(x) with y, (2) Swap x and y, (3) Solve for y, (4) Replace y with fâ»Â¹(x). Following these steps gives the inverse function: 15.</t>
  </si>
  <si>
    <t>If f(x) = xÂ² + 4, find f(13) - f(11)</t>
  </si>
  <si>
    <t>What is the range of f(x) = -7xÂ² + 5?</t>
  </si>
  <si>
    <t>Apply function concepts: evaluate by substitution, find domain by identifying restrictions, or use algebraic manipulation. The answer is 15.</t>
  </si>
  <si>
    <t>Solve f(x) = 11 where f(x) = 10x + 12</t>
  </si>
  <si>
    <t>Find the vertex of f(x) = xÂ² + 7x + 8</t>
  </si>
  <si>
    <t>For a quadratic function f(x) = axÂ² + bx + c, the vertex has x-coordinate at x = -b/(2a). Substitute this x-value back into the function to find the y-coordinate. The vertex is at 15.</t>
  </si>
  <si>
    <t>If f(x) = 12xÂ² + 4x + 17, find the y-intercept</t>
  </si>
  <si>
    <t>Determine if f(x) = 20xÂ³ + 11 is even, odd, or neither</t>
  </si>
  <si>
    <t>Find the composition (fâˆ˜g)(x) where f(x) = 20x and g(x) = x + 15</t>
  </si>
  <si>
    <t>Find sin(1Â°)</t>
  </si>
  <si>
    <t>Use the unit circle or trigonometric ratios. For special angles (30Â°, 45Â°, 60Â°, 90Â°), memorize the exact values. For other angles, use the reference angle and determine the sign based on the quadrant. The answer is 15.</t>
  </si>
  <si>
    <t>If cos(Î¸) = 6/6, find sin(Î¸)</t>
  </si>
  <si>
    <t>Solve: sin(x) = 15 for 0Â° â‰¤ x â‰¤ 360Â°</t>
  </si>
  <si>
    <t>Convert 15Â° to radians</t>
  </si>
  <si>
    <t>To convert degrees to radians, use the formula: radians = degrees Ã— (Ï€/180). Multiply the degree measure by Ï€/180 to get the radian measure. The conversion gives 15.</t>
  </si>
  <si>
    <t>Find the period of y = sin(1x)</t>
  </si>
  <si>
    <t>If tan(Î¸) = 10, find sec(Î¸)</t>
  </si>
  <si>
    <t>Apply trigonometric identities, use the unit circle for exact values, or apply period and amplitude formulas. The answer is 15.</t>
  </si>
  <si>
    <t>Find the amplitude of y = 13sin(x)</t>
  </si>
  <si>
    <t>Solve: cos(x) = 14 for 0 â‰¤ x â‰¤ 2Ï€</t>
  </si>
  <si>
    <t>Use the identity sin(2Î¸) = 2sin(Î¸)cos(Î¸) to find sin(19Â°)</t>
  </si>
  <si>
    <t>Find the derivative of f(x) = 7xÂ² + 8x + 23</t>
  </si>
  <si>
    <t>To find the derivative, apply differentiation rules: power rule d/dx(x^n) = nx^(n-1), sum rule, and constant multiple rule. Differentiate each term separately and combine. The derivative is 15.</t>
  </si>
  <si>
    <t>Evaluate: âˆ«(19x + 5)dx</t>
  </si>
  <si>
    <t>To evaluate the integral, use antiderivative rules: âˆ«x^n dx = x^(n+1)/(n+1) + C for indefinite integrals. For definite integrals, apply the Fundamental Theorem of Calculus. The result is 15.</t>
  </si>
  <si>
    <t>Find the limit: lim(xâ†’11) (12x + 16)</t>
  </si>
  <si>
    <t>To find the limit, try direct substitution first. If that leads to an indeterminate form, use algebraic manipulation, factoring, or L'HÃ´pital's rule. As x approaches the given value, the limit is 15.</t>
  </si>
  <si>
    <t>Find the critical points of f(x) = xÂ³ - 14xÂ² + 7x</t>
  </si>
  <si>
    <t>To find critical points, take the derivative and set it equal to zero: f'(x) = 0. Solve for x to find where the slope is zero or undefined. These x-values are the critical points: 15.</t>
  </si>
  <si>
    <t>Evaluate: âˆ«â‚€^9 (2x + 22)dx</t>
  </si>
  <si>
    <t>Find f'(x) if f(x) = 15sin(x) + 12cos(x)</t>
  </si>
  <si>
    <t>Apply calculus techniques: differentiation rules, integration formulas, or limit evaluation methods. The answer is 15.</t>
  </si>
  <si>
    <t>Use the chain rule to find dy/dx: y = (19x + 10)Â³</t>
  </si>
  <si>
    <t>Find the area under f(x) = 16x from x = 0 to x = 13</t>
  </si>
  <si>
    <t>Determine the concavity of f(x) = xÂ³ - 12xÂ² at x = 13</t>
  </si>
  <si>
    <t>Find the second derivative of f(x) = 18xâ´ + 3xÂ³</t>
  </si>
  <si>
    <t>Find the distance between points (5,14) and (6,2)</t>
  </si>
  <si>
    <t>Use the distance formula: d = âˆš[(xâ‚‚-xâ‚)Â² + (yâ‚‚-yâ‚)Â²]. Substitute the coordinates of the two points, calculate the differences, square them, add, and take the square root. The distance is 15.</t>
  </si>
  <si>
    <t>What is the midpoint of the line segment from (3,8) to (21,4)?</t>
  </si>
  <si>
    <t>Use the midpoint formula: M = ((xâ‚+xâ‚‚)/2, (yâ‚+yâ‚‚)/2). Add the x-coordinates and divide by 2, add the y-coordinates and divide by 2. The midpoint is 15.</t>
  </si>
  <si>
    <t>Find the equation of the line passing through (9,6) with slope 8</t>
  </si>
  <si>
    <t>Use point-slope form: y - yâ‚ = m(x - xâ‚), where m is the slope and (xâ‚, yâ‚) is the given point. Substitute the values and simplify to get the equation: -2/3.</t>
  </si>
  <si>
    <t>Determine the center of the circle: xÂ² + yÂ² + 16x + 4y = 3</t>
  </si>
  <si>
    <t>For a circle with center (h, k) and radius r, the equation is (x-h)Â² + (y-k)Â² = rÂ². Identify the center and radius from the given information to write the equation: 15.</t>
  </si>
  <si>
    <t>Find the radius of the circle: (x-17)Â² + (y-12)Â² = 20</t>
  </si>
  <si>
    <t>What is the slope of the line 17x + 4y = 11?</t>
  </si>
  <si>
    <t>Apply coordinate geometry formulas: distance, midpoint, slope, or circle equations. The answer is -2/3.</t>
  </si>
  <si>
    <t>Find the x-intercept of the line y = 7x + 13</t>
  </si>
  <si>
    <t>Apply coordinate geometry formulas: distance, midpoint, slope, or circle equations. The answer is 15.</t>
  </si>
  <si>
    <t>Determine if the lines 5x + 13y = 12 and 10x + 8y = 10 are parallel</t>
  </si>
  <si>
    <t>Find the area of triangle with vertices (5,4), (1,6), (8,10)</t>
  </si>
  <si>
    <t>Write the equation of the circle with center (17,9) and radius 1</t>
  </si>
  <si>
    <t>If the frequency of a sound wave is 14 Hz, what is its period?</t>
  </si>
  <si>
    <t>The relationship between frequency (f) and period (T) is: T = 1/f. Frequency is measured in Hz (cycles per second), and period is measured in seconds. If f = 14 Hz, then T = 1/14 seconds = 50 Hz.</t>
  </si>
  <si>
    <t>Calculate the wavelength of a sound wave with frequency 16 Hz in air</t>
  </si>
  <si>
    <t>Use the wave equation: v = fÎ», where v is wave speed, f is frequency, and Î» is wavelength. For sound in air, v â‰ˆ 343 m/s. Rearranging: Î» = v/f. Substituting the values gives Î» = 50 Hz.</t>
  </si>
  <si>
    <t>What is the speed of sound if wavelength = 12 m and frequency = 9 Hz?</t>
  </si>
  <si>
    <t>Find the frequency of a sound wave with wavelength 11 m in water</t>
  </si>
  <si>
    <t>Calculate the beat frequency when two waves of 3 Hz and 13 Hz interfere</t>
  </si>
  <si>
    <t>Beat frequency is the absolute difference between two interfering frequencies: f_beat = |fâ‚ - fâ‚‚|. Subtract the smaller frequency from the larger frequency to get the beat frequency: 50 Hz.</t>
  </si>
  <si>
    <t>What is the intensity level in dB if intensity = 15 Ã— 10â»â¶ W/mÂ²?</t>
  </si>
  <si>
    <t>Apply wave physics formulas: v = fÎ» for wave speed, T = 1/f for period, or beat frequency = |fâ‚ - fâ‚‚|. The answer is 10 units.</t>
  </si>
  <si>
    <t>Find the fundamental frequency of a string of length 10 m</t>
  </si>
  <si>
    <t>Apply wave physics formulas: v = fÎ» for wave speed, T = 1/f for period, or beat frequency = |fâ‚ - fâ‚‚|. The answer is 50 Hz.</t>
  </si>
  <si>
    <t>Calculate the Doppler shift when source moves at 16 m/s toward observer</t>
  </si>
  <si>
    <t>What is the wavelength in air for a 11 kHz ultrasonic wave?</t>
  </si>
  <si>
    <t>Apply wave physics formulas: v = fÎ» for wave speed, T = 1/f for period, or beat frequency = |fâ‚ - fâ‚‚|. The answer is 0.5 m.</t>
  </si>
  <si>
    <t>Find the harmonic number for frequency 12 Hz if fundamental = 6 Hz</t>
  </si>
  <si>
    <t>Calculate the focal length of a lens with power 15 diopters</t>
  </si>
  <si>
    <t>The relationship between power (P) and focal length (f) is: P = 1/f, where P is in diopters and f is in meters. If P = 15 diopters, then f = 1/P = 10 units.</t>
  </si>
  <si>
    <t>Find the image distance if object distance = 9 cm and focal length = 3 cm</t>
  </si>
  <si>
    <t>Use the thin lens equation: 1/f = 1/d_o + 1/d_i, where f is focal length, d_o is object distance, and d_i is image distance. Rearranging for d_i: 1/d_i = 1/f - 1/d_o. Solving gives d_i = 10 units.</t>
  </si>
  <si>
    <t>What is the magnification if image height = 8 cm and object height = 11 cm?</t>
  </si>
  <si>
    <t>Magnification is the ratio of image height to object height: M = h_i/h_o, or M = -d_i/d_o. Using the given heights: M = 10 units.</t>
  </si>
  <si>
    <t>Calculate the refractive index if angle of incidence = 5Â° and refraction = 4Â°</t>
  </si>
  <si>
    <t>Use Snell's law: nâ‚sin(Î¸â‚) = nâ‚‚sin(Î¸â‚‚). For air to medium: n = sin(Î¸â‚)/sin(Î¸â‚‚). Substituting the angles gives n = 10 units.</t>
  </si>
  <si>
    <t>Apply optics formulas: lens equation 1/f = 1/d_o + 1/d_i, Snell's law, or magnification relationships. The answer is 10 units.</t>
  </si>
  <si>
    <t>What is the wavelength of light with frequency 13 Ã— 10Â¹â´ Hz?</t>
  </si>
  <si>
    <t>Apply optics formulas: lens equation 1/f = 1/d_o + 1/d_i, Snell's law, or magnification relationships. The answer is 50 Hz.</t>
  </si>
  <si>
    <t>Calculate the power of a lens with focal length 6 cm</t>
  </si>
  <si>
    <t>The relationship between power (P) and focal length (f) is: P = 1/f, where P is in diopters and f is in meters. If P = 6 diopters, then f = 1/P = 10 units.</t>
  </si>
  <si>
    <t>What is the speed of light in a medium with refractive index 8?</t>
  </si>
  <si>
    <t>Calculate the current if charge 10 C flows in 1 seconds</t>
  </si>
  <si>
    <t>Current is charge per unit time: I = Q/t, where I is current (A), Q is charge (C), and t is time (s). Substituting the given values: I = 10 units.</t>
  </si>
  <si>
    <t>Find the resistance if voltage = 14 V and current = 3 A</t>
  </si>
  <si>
    <t>Use Ohm's law: V = IR, where V is voltage, I is current, and R is resistance. Rearranging for resistance: R = V/I. Substituting gives R = 10 units.</t>
  </si>
  <si>
    <t>What is the power dissipated if I = 6 A and R = 8 Î©?</t>
  </si>
  <si>
    <t>Apply electrical formulas: Ohm's law V=IR, power formulas P=VI=IÂ²R, or energy relationships. The answer is 10 units.</t>
  </si>
  <si>
    <t>Calculate the energy stored in a capacitor (C = 20 ÂµF, V = 6 V)</t>
  </si>
  <si>
    <t>Energy stored in a capacitor: U = Â½CVÂ², where C is capacitance and V is voltage. Converting ÂµF to F and substituting: U = 10 units.</t>
  </si>
  <si>
    <t>Find the total resistance of 4 Î© and 2 Î© resistors in series</t>
  </si>
  <si>
    <t>For resistors in series: R_total = Râ‚ + Râ‚‚ + Râ‚ƒ + ... Add all resistance values directly: R_total = 10 units.</t>
  </si>
  <si>
    <t>What is the equivalent capacitance of 1 ÂµF and 13 ÂµF in parallel?</t>
  </si>
  <si>
    <t>Calculate the electric field if force = 17 N and charge = 2 ÂµC</t>
  </si>
  <si>
    <t>Find the potential difference if work = 17 J and charge = 12 C</t>
  </si>
  <si>
    <t>Calculate the drift velocity if current density = 5 A/mÂ²</t>
  </si>
  <si>
    <t>Calculate the magnetic force on a 4 m wire carrying 14 A in 15 T field</t>
  </si>
  <si>
    <t>Force on a current-carrying wire in a magnetic field: F = BIL, where B is magnetic field, I is current, and L is length. Substituting the values: F = 10 units.</t>
  </si>
  <si>
    <t>Find the magnetic field at distance 13 cm from a straight wire carrying 2 A</t>
  </si>
  <si>
    <t>Magnetic field around a straight wire: B = Î¼â‚€I/(2Ï€r), where Î¼â‚€ = 4Ï€Ã—10â»â· TÂ·m/A, I is current, and r is distance. Calculating: B = 10 units.</t>
  </si>
  <si>
    <t>What is the force between two parallel wires separated by 2 cm?</t>
  </si>
  <si>
    <t>Apply magnetic formulas: F=BIL for force, B=Î¼â‚€I/(2Ï€r) for field, or Faraday's law for induction. The answer is 10 units.</t>
  </si>
  <si>
    <t>Calculate the flux through a 5 mÂ² loop in a 8 T magnetic field</t>
  </si>
  <si>
    <t>Magnetic flux: Î¦ = BA cos(Î¸), where B is magnetic field, A is area, and Î¸ is the angle between B and the normal to the surface. For perpendicular field: Î¦ = BA = 10 units.</t>
  </si>
  <si>
    <t>Find the induced EMF if flux changes by 8 Wb in 2 seconds</t>
  </si>
  <si>
    <t>What is the magnetic moment of a coil with 5 turns?</t>
  </si>
  <si>
    <t>Calculate the wavelength of EM radiation with frequency 6 MHz</t>
  </si>
  <si>
    <t>For electromagnetic waves: c = fÎ», where c = 3Ã—10â¸ m/s is the speed of light, f is frequency, and Î» is wavelength. Rearranging: Î» = c/f = 50 Hz.</t>
  </si>
  <si>
    <t>Find the energy of a photon with wavelength 2 nm</t>
  </si>
  <si>
    <t>Photon energy: E = hf = hc/Î», where h = 6.626Ã—10â»Â³â´ JÂ·s is Planck's constant. Using the wavelength or frequency: E = 0.5 m.</t>
  </si>
  <si>
    <t>What is the frequency of X-rays with energy 16 keV?</t>
  </si>
  <si>
    <t>Apply EM wave formulas: c=fÎ», E=hf for photon energy, or p=h/Î» for photon momentum. The answer is 50 Hz.</t>
  </si>
  <si>
    <t>Calculate the momentum of a photon with energy 18 eV</t>
  </si>
  <si>
    <t>Photon energy: E = hf = hc/Î», where h = 6.626Ã—10â»Â³â´ JÂ·s is Planck's constant. Using the wavelength or frequency: E = 10 units.</t>
  </si>
  <si>
    <t>Find the intensity of EM wave if electric field amplitude = 10 V/m</t>
  </si>
  <si>
    <t>Apply EM wave formulas: c=fÎ», E=hf for photon energy, or p=h/Î» for photon momentum. The answer is 10 units.</t>
  </si>
  <si>
    <t>What is the magnetic field amplitude if Eâ‚€ = 7 V/m?</t>
  </si>
  <si>
    <t>Find the wavelength in vacuum for 7 GHz microwaves</t>
  </si>
  <si>
    <t>Apply EM wave formulas: c=fÎ», E=hf for photon energy, or p=h/Î» for photon momentum. The answer is 0.5 m.</t>
  </si>
  <si>
    <t>What is the photon energy for 4 nm light?</t>
  </si>
  <si>
    <t>Calculate the radiation pressure if intensity = 4 W/mÂ²</t>
  </si>
  <si>
    <t>Calculate Î”H if Î”U = 20 kJ and Î”nRT = 6 kJ</t>
  </si>
  <si>
    <t>From the first law of thermodynamics: Î”H = Î”U + Î”nRT, where Î”H is enthalpy change, Î”U is internal energy change, and Î”nRT is work done by gas expansion. Adding the given values: Î”H = 25 kJ/mol.</t>
  </si>
  <si>
    <t>Find the entropy change if heat absorbed = 13 J at 6 K</t>
  </si>
  <si>
    <t>Entropy change: Î”S = q_rev/T, where q_rev is reversible heat and T is absolute temperature. For constant temperature process: Î”S = 25 kJ/mol.</t>
  </si>
  <si>
    <t>What is the Gibbs free energy if Î”H = 13 kJ and TÎ”S = 14 kJ?</t>
  </si>
  <si>
    <t>Gibbs free energy: Î”G = Î”H - TÎ”S. At constant temperature, subtract TÎ”S from Î”H to get the free energy change: Î”G = 25 kJ/mol.</t>
  </si>
  <si>
    <t>Calculate the work done by gas expanding from 4 L to 3 L</t>
  </si>
  <si>
    <t>Apply thermodynamic relationships: Î”H = Î”U + PÎ”V, Î”G = Î”H - TÎ”S, or Î”S = q/T. The answer is 25 kJ/mol.</t>
  </si>
  <si>
    <t>Find the heat capacity if temperature changes by 10 K using 6 J</t>
  </si>
  <si>
    <t>Calculate the equilibrium constant if Î”GÂ° = -14 kJ/mol</t>
  </si>
  <si>
    <t>Find the final temperature if 12 g of water absorbs 5 kJ</t>
  </si>
  <si>
    <t>Calculate Kc if [A] = 2 M, [B] = 8 M, [C] = 13 M for A + B â‡Œ C</t>
  </si>
  <si>
    <t>For the reaction aA + bB â‡Œ cC + dD, the equilibrium constant Kc = [C]^c[D]^d/[A]^a[B]^b. Substitute the equilibrium concentrations into this expression: Kc = 25 kJ/mol.</t>
  </si>
  <si>
    <t>Find the equilibrium concentration if initial = 9 M and x = 2 M</t>
  </si>
  <si>
    <t>Apply equilibrium principles: Kc expression, Le Chatelier's principle, or ICE table analysis. The answer is 25 kJ/mol.</t>
  </si>
  <si>
    <t>What is Kp if Kc = 10 and Î”n = 12?</t>
  </si>
  <si>
    <t>The relationship between Kp and Kc is: Kp = Kc(RT)^Î”n, where Î”n is the change in moles of gas and R = 0.0821 LÂ·atm/molÂ·K. Calculating: Kp = 25 kJ/mol.</t>
  </si>
  <si>
    <t>Find the equilibrium position if Kc = 8</t>
  </si>
  <si>
    <t>Find the pH of 2 M weak acid solution</t>
  </si>
  <si>
    <t>For weak acid dissociation: Ka = [Hâº][Aâ»]/[HA]. Using the ICE table and Ka expression, solve for [Hâº], then pH = -log[Hâº] = 2.5.</t>
  </si>
  <si>
    <t>The correct answer is 25 kJ/mol based on the fundamental principles of Chemistry.</t>
  </si>
  <si>
    <t>The correct answer is 2.5 based on the fundamental principles of Chemistry.</t>
  </si>
  <si>
    <t>Apply kinetic equations: rate laws, integrated rate laws, or Arrhenius equation. The answer is 25 kJ/mol.</t>
  </si>
  <si>
    <t>Find the half-life if k = 2 sâ»Â¹</t>
  </si>
  <si>
    <t>For first-order reactions: tâ‚/â‚‚ = ln(2)/k = 0.693/k. Using the given rate constant: tâ‚/â‚‚ = 25 kJ/mol.</t>
  </si>
  <si>
    <t>Use the Arrhenius equation: ln(kâ‚‚/kâ‚) = (Ea/R)(1/Tâ‚ - 1/Tâ‚‚). Substitute the rate constants and temperatures to solve for activation energy: Ea = 25 kJ/mol.</t>
  </si>
  <si>
    <t>Calculate the concentration after 14 minutes</t>
  </si>
  <si>
    <t>Find the rate if [A] = 9 M, [B] = 4 M</t>
  </si>
  <si>
    <t>Calculate the time for 1% completion</t>
  </si>
  <si>
    <t>Calculate the molarity of 7 g solute in 3 mL solution</t>
  </si>
  <si>
    <t>Molarity (M) = moles of solute / liters of solution. First convert grams to moles using molar mass, then divide by volume in liters: M = 0.1 M.</t>
  </si>
  <si>
    <t>Find the molality of 12 mol solute in 13 kg solvent</t>
  </si>
  <si>
    <t>Apply solution formulas: molarity, colligative properties, or pH calculations. The answer is 25 kJ/mol.</t>
  </si>
  <si>
    <t>What is the mole fraction in 20% by mass solution?</t>
  </si>
  <si>
    <t>Calculate the osmotic pressure of 20 M solution</t>
  </si>
  <si>
    <t>Osmotic pressure: Ï€ = MRT, where M is molarity, R = 0.0821 LÂ·atm/molÂ·K, and T is absolute temperature. Substituting: Ï€ = 25 kJ/mol.</t>
  </si>
  <si>
    <t>What is the pH of 4 M strong acid?</t>
  </si>
  <si>
    <t>For strong acids, complete dissociation occurs. pH = -log[Hâº] = -log(molarity of acid) = 2.5.</t>
  </si>
  <si>
    <t>Apply solution formulas: molarity, colligative properties, or pH calculations. The answer is 2.5.</t>
  </si>
  <si>
    <t>To solve the linear equation 3x-5=13, you must isolate the variable x. First, add 5 to both sides of the equation: 3x-5+5=13+5, which simplifies to 3x=18.Next, divide both sides by 3 to find the value of x: 3x/3=18/3, which gives x=6.</t>
  </si>
  <si>
    <t>question_text</t>
  </si>
  <si>
    <t>question_type</t>
  </si>
  <si>
    <t>exam_category</t>
  </si>
  <si>
    <t>option_a</t>
  </si>
  <si>
    <t>option_b</t>
  </si>
  <si>
    <t>option_c</t>
  </si>
  <si>
    <t>option_d</t>
  </si>
  <si>
    <t>option_e</t>
  </si>
  <si>
    <t>option_f</t>
  </si>
  <si>
    <t>correct_answer</t>
  </si>
  <si>
    <t>explanation+text</t>
  </si>
  <si>
    <t>estimated_time_seconds</t>
  </si>
  <si>
    <t>arde_probability</t>
  </si>
  <si>
    <t>question_image_urls</t>
  </si>
  <si>
    <t>explanation_video_url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</si>
</sst>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89D185"/>
      <name val="Segoe UI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10" xfId="0" applyBorder="1" applyAlignment="1">
      <alignment wrapText="1"/>
    </xf>
    <xf numFmtId="0" fontId="16" fillId="33" borderId="10" xfId="0" applyFont="1" applyFill="1" applyBorder="1"/>
    <xf numFmtId="0" fontId="18" fillId="0" borderId="0" xfId="0" applyFon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16" fillId="0" borderId="0" xfId="0" applyFont="1" applyAlignment="1">
      <alignment wrapText="1"/>
    </xf>
    <xf numFmtId="0" fontId="0" fillId="0" borderId="10" xfId="0" applyBorder="1" applyAlignment="1">
      <alignment vertical="center" wrapText="1"/>
    </xf>
    <xf numFmtId="16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BA1B2-A2A0-43CA-A45C-69B9256BF234}">
  <dimension ref="A1:U307"/>
  <sheetViews>
    <sheetView tabSelected="1" zoomScale="60" zoomScaleNormal="60" workbookViewId="0">
      <pane ySplit="1" topLeftCell="A26" activePane="bottomLeft" state="frozen"/>
      <selection pane="bottomLeft" activeCell="I28" sqref="I28"/>
    </sheetView>
  </sheetViews>
  <sheetFormatPr defaultRowHeight="15" x14ac:dyDescent="0.25"/>
  <cols>
    <col min="1" max="1" width="38.7109375" style="1" customWidth="1"/>
    <col min="2" max="2" width="16" style="1" bestFit="1" customWidth="1"/>
    <col min="3" max="3" width="14.140625" style="1" bestFit="1" customWidth="1"/>
    <col min="4" max="4" width="18.140625" style="1" bestFit="1" customWidth="1"/>
    <col min="5" max="5" width="14.5703125" style="1" bestFit="1" customWidth="1"/>
    <col min="6" max="6" width="15.85546875" style="1" bestFit="1" customWidth="1"/>
    <col min="7" max="7" width="12.140625" style="1" customWidth="1"/>
    <col min="8" max="8" width="13.85546875" style="1" customWidth="1"/>
    <col min="9" max="9" width="12.7109375" style="1" customWidth="1"/>
    <col min="10" max="10" width="13.140625" style="1" customWidth="1"/>
    <col min="11" max="11" width="11.140625" style="1" customWidth="1"/>
    <col min="12" max="12" width="12" style="1" customWidth="1"/>
    <col min="13" max="13" width="9.42578125" style="1" customWidth="1"/>
    <col min="14" max="14" width="67.28515625" style="1" customWidth="1"/>
    <col min="15" max="15" width="14.28515625" style="1" customWidth="1"/>
    <col min="16" max="16" width="10.28515625" style="1" customWidth="1"/>
    <col min="17" max="17" width="15.85546875" style="1" customWidth="1"/>
    <col min="18" max="18" width="16.7109375" style="1" customWidth="1"/>
    <col min="19" max="19" width="18.28515625" style="1" bestFit="1" customWidth="1"/>
    <col min="20" max="20" width="19.5703125" style="1" bestFit="1" customWidth="1"/>
    <col min="21" max="16384" width="9.140625" style="1"/>
  </cols>
  <sheetData>
    <row r="1" spans="1:21" ht="30" x14ac:dyDescent="0.25">
      <c r="A1" s="1" t="s">
        <v>1005</v>
      </c>
      <c r="B1" s="1" t="s">
        <v>1006</v>
      </c>
      <c r="C1" s="1" t="s">
        <v>1007</v>
      </c>
      <c r="D1" s="1" t="s">
        <v>1</v>
      </c>
      <c r="E1" s="1" t="s">
        <v>2</v>
      </c>
      <c r="F1" s="1" t="s">
        <v>3</v>
      </c>
      <c r="G1" s="1" t="s">
        <v>1008</v>
      </c>
      <c r="H1" s="1" t="s">
        <v>1009</v>
      </c>
      <c r="I1" s="1" t="s">
        <v>1010</v>
      </c>
      <c r="J1" s="1" t="s">
        <v>1011</v>
      </c>
      <c r="K1" s="1" t="s">
        <v>1012</v>
      </c>
      <c r="L1" s="1" t="s">
        <v>1013</v>
      </c>
      <c r="M1" s="1" t="s">
        <v>1014</v>
      </c>
      <c r="N1" s="1" t="s">
        <v>1015</v>
      </c>
      <c r="O1" s="1" t="s">
        <v>4</v>
      </c>
      <c r="P1" s="1" t="s">
        <v>5</v>
      </c>
      <c r="Q1" s="1" t="s">
        <v>1016</v>
      </c>
      <c r="R1" s="1" t="s">
        <v>1017</v>
      </c>
      <c r="S1" s="1" t="s">
        <v>1018</v>
      </c>
      <c r="T1" s="1" t="s">
        <v>1019</v>
      </c>
      <c r="U1" s="11"/>
    </row>
    <row r="2" spans="1:21" ht="60" x14ac:dyDescent="0.25">
      <c r="A2" s="1" t="s">
        <v>443</v>
      </c>
      <c r="B2" s="2" t="s">
        <v>12</v>
      </c>
      <c r="C2" s="2" t="s">
        <v>6</v>
      </c>
      <c r="D2" s="2" t="s">
        <v>13</v>
      </c>
      <c r="E2" s="2" t="s">
        <v>7</v>
      </c>
      <c r="F2" s="2" t="s">
        <v>8</v>
      </c>
      <c r="G2" s="2" t="s">
        <v>410</v>
      </c>
      <c r="H2" s="2">
        <v>6</v>
      </c>
      <c r="I2" s="2" t="s">
        <v>411</v>
      </c>
      <c r="J2" s="2" t="s">
        <v>412</v>
      </c>
      <c r="K2" s="2"/>
      <c r="L2" s="2"/>
      <c r="M2" s="2" t="str">
        <f ca="1">CHAR(RANDBETWEEN(65,68))</f>
        <v>C</v>
      </c>
      <c r="N2" s="2" t="s">
        <v>1004</v>
      </c>
      <c r="O2" s="2" t="s">
        <v>413</v>
      </c>
      <c r="P2" s="2" t="s">
        <v>414</v>
      </c>
      <c r="Q2" s="2">
        <v>60</v>
      </c>
      <c r="R2" s="2">
        <v>0.9</v>
      </c>
      <c r="S2" s="2"/>
      <c r="T2" s="2"/>
    </row>
    <row r="3" spans="1:21" ht="60" x14ac:dyDescent="0.25">
      <c r="A3" s="2" t="s">
        <v>415</v>
      </c>
      <c r="B3" s="2" t="s">
        <v>12</v>
      </c>
      <c r="C3" s="2" t="s">
        <v>6</v>
      </c>
      <c r="D3" s="2" t="s">
        <v>13</v>
      </c>
      <c r="E3" s="2" t="s">
        <v>7</v>
      </c>
      <c r="F3" s="2" t="s">
        <v>8</v>
      </c>
      <c r="G3" s="2" t="s">
        <v>416</v>
      </c>
      <c r="H3" s="2" t="s">
        <v>417</v>
      </c>
      <c r="I3" s="2" t="s">
        <v>418</v>
      </c>
      <c r="J3" s="2" t="s">
        <v>419</v>
      </c>
      <c r="K3" s="2"/>
      <c r="L3" s="2"/>
      <c r="M3" s="2" t="str">
        <f t="shared" ref="M3:M66" ca="1" si="0">CHAR(RANDBETWEEN(65,68))</f>
        <v>A</v>
      </c>
      <c r="N3" s="2" t="s">
        <v>420</v>
      </c>
      <c r="O3" s="2" t="s">
        <v>421</v>
      </c>
      <c r="P3" s="2" t="s">
        <v>414</v>
      </c>
      <c r="Q3" s="2">
        <v>120</v>
      </c>
      <c r="R3" s="2">
        <v>0.8</v>
      </c>
      <c r="S3" s="2"/>
      <c r="T3" s="2"/>
    </row>
    <row r="4" spans="1:21" ht="60" x14ac:dyDescent="0.25">
      <c r="A4" s="2" t="s">
        <v>422</v>
      </c>
      <c r="B4" s="2" t="s">
        <v>12</v>
      </c>
      <c r="C4" s="2" t="s">
        <v>6</v>
      </c>
      <c r="D4" s="2" t="s">
        <v>13</v>
      </c>
      <c r="E4" s="2" t="s">
        <v>7</v>
      </c>
      <c r="F4" s="2" t="s">
        <v>8</v>
      </c>
      <c r="G4" s="2" t="s">
        <v>423</v>
      </c>
      <c r="H4" s="2" t="s">
        <v>424</v>
      </c>
      <c r="I4" s="2" t="s">
        <v>425</v>
      </c>
      <c r="J4" s="2" t="s">
        <v>426</v>
      </c>
      <c r="K4" s="2"/>
      <c r="L4" s="2"/>
      <c r="M4" s="2" t="str">
        <f t="shared" ca="1" si="0"/>
        <v>B</v>
      </c>
      <c r="N4" s="2" t="s">
        <v>427</v>
      </c>
      <c r="O4" s="2" t="s">
        <v>421</v>
      </c>
      <c r="P4" s="2" t="s">
        <v>428</v>
      </c>
      <c r="Q4" s="2">
        <v>150</v>
      </c>
      <c r="R4" s="2">
        <v>0.8</v>
      </c>
      <c r="S4" s="2"/>
      <c r="T4" s="2"/>
    </row>
    <row r="5" spans="1:21" ht="30" x14ac:dyDescent="0.25">
      <c r="A5" s="2" t="s">
        <v>429</v>
      </c>
      <c r="B5" s="2" t="s">
        <v>12</v>
      </c>
      <c r="C5" s="2" t="s">
        <v>6</v>
      </c>
      <c r="D5" s="2" t="s">
        <v>13</v>
      </c>
      <c r="E5" s="2" t="s">
        <v>7</v>
      </c>
      <c r="F5" s="2" t="s">
        <v>8</v>
      </c>
      <c r="G5" s="2" t="s">
        <v>430</v>
      </c>
      <c r="H5" s="2" t="s">
        <v>431</v>
      </c>
      <c r="I5" s="2" t="s">
        <v>432</v>
      </c>
      <c r="J5" s="2" t="s">
        <v>433</v>
      </c>
      <c r="K5" s="2"/>
      <c r="L5" s="2"/>
      <c r="M5" s="2" t="str">
        <f t="shared" ca="1" si="0"/>
        <v>C</v>
      </c>
      <c r="N5" s="2" t="s">
        <v>434</v>
      </c>
      <c r="O5" s="2" t="s">
        <v>413</v>
      </c>
      <c r="P5" s="2" t="s">
        <v>414</v>
      </c>
      <c r="Q5" s="2">
        <v>90</v>
      </c>
      <c r="R5" s="2">
        <v>0.9</v>
      </c>
      <c r="S5" s="2"/>
      <c r="T5" s="2"/>
    </row>
    <row r="6" spans="1:21" ht="60" x14ac:dyDescent="0.25">
      <c r="A6" s="2" t="s">
        <v>435</v>
      </c>
      <c r="B6" s="2" t="s">
        <v>12</v>
      </c>
      <c r="C6" s="2" t="s">
        <v>6</v>
      </c>
      <c r="D6" s="2" t="s">
        <v>13</v>
      </c>
      <c r="E6" s="2" t="s">
        <v>7</v>
      </c>
      <c r="F6" s="2" t="s">
        <v>8</v>
      </c>
      <c r="G6" s="2">
        <v>17</v>
      </c>
      <c r="H6" s="2">
        <v>19</v>
      </c>
      <c r="I6" s="2">
        <v>15</v>
      </c>
      <c r="J6" s="2">
        <v>21</v>
      </c>
      <c r="K6" s="2"/>
      <c r="L6" s="2"/>
      <c r="M6" s="2" t="str">
        <f t="shared" ca="1" si="0"/>
        <v>B</v>
      </c>
      <c r="N6" s="2" t="s">
        <v>436</v>
      </c>
      <c r="O6" s="2" t="s">
        <v>421</v>
      </c>
      <c r="P6" s="2" t="s">
        <v>428</v>
      </c>
      <c r="Q6" s="2">
        <v>120</v>
      </c>
      <c r="R6" s="2">
        <v>0.8</v>
      </c>
      <c r="S6" s="2"/>
      <c r="T6" s="2"/>
    </row>
    <row r="7" spans="1:21" ht="409.5" x14ac:dyDescent="0.25">
      <c r="A7" s="12" t="s">
        <v>437</v>
      </c>
      <c r="B7" s="2" t="s">
        <v>12</v>
      </c>
      <c r="C7" s="2" t="s">
        <v>6</v>
      </c>
      <c r="D7" s="2" t="s">
        <v>14</v>
      </c>
      <c r="E7" s="2" t="s">
        <v>24</v>
      </c>
      <c r="F7" s="2" t="s">
        <v>62</v>
      </c>
      <c r="G7" s="2" t="s">
        <v>438</v>
      </c>
      <c r="H7" s="2" t="s">
        <v>439</v>
      </c>
      <c r="I7" s="2" t="s">
        <v>440</v>
      </c>
      <c r="J7" s="2" t="s">
        <v>441</v>
      </c>
      <c r="K7" s="2"/>
      <c r="L7" s="2"/>
      <c r="M7" s="2" t="str">
        <f t="shared" ca="1" si="0"/>
        <v>C</v>
      </c>
      <c r="N7" s="2" t="s">
        <v>444</v>
      </c>
      <c r="O7" s="2" t="s">
        <v>442</v>
      </c>
      <c r="P7" s="2"/>
      <c r="Q7" s="2"/>
      <c r="R7" s="2"/>
      <c r="S7" s="2"/>
      <c r="T7" s="2"/>
    </row>
    <row r="8" spans="1:21" ht="60" x14ac:dyDescent="0.25">
      <c r="A8" s="1" t="s">
        <v>822</v>
      </c>
      <c r="B8" s="1" t="s">
        <v>12</v>
      </c>
      <c r="C8" s="1" t="s">
        <v>6</v>
      </c>
      <c r="D8" s="1" t="s">
        <v>13</v>
      </c>
      <c r="E8" s="1" t="s">
        <v>7</v>
      </c>
      <c r="F8" s="1" t="s">
        <v>7</v>
      </c>
      <c r="G8" s="1" t="s">
        <v>445</v>
      </c>
      <c r="H8" s="1" t="s">
        <v>450</v>
      </c>
      <c r="I8" s="1" t="s">
        <v>451</v>
      </c>
      <c r="J8" s="1" t="s">
        <v>452</v>
      </c>
      <c r="M8" s="2" t="str">
        <f t="shared" ca="1" si="0"/>
        <v>C</v>
      </c>
      <c r="N8" s="1" t="s">
        <v>823</v>
      </c>
      <c r="O8" s="1" t="s">
        <v>421</v>
      </c>
      <c r="P8" s="1" t="s">
        <v>453</v>
      </c>
      <c r="Q8" s="1">
        <v>149</v>
      </c>
      <c r="R8" s="1">
        <v>0.9</v>
      </c>
    </row>
    <row r="9" spans="1:21" ht="30" x14ac:dyDescent="0.25">
      <c r="A9" s="1" t="s">
        <v>824</v>
      </c>
      <c r="B9" s="1" t="s">
        <v>12</v>
      </c>
      <c r="C9" s="1" t="s">
        <v>6</v>
      </c>
      <c r="D9" s="1" t="s">
        <v>13</v>
      </c>
      <c r="E9" s="1" t="s">
        <v>7</v>
      </c>
      <c r="F9" s="1" t="s">
        <v>7</v>
      </c>
      <c r="G9" s="1" t="s">
        <v>452</v>
      </c>
      <c r="H9" s="1" t="s">
        <v>451</v>
      </c>
      <c r="I9" s="1" t="s">
        <v>445</v>
      </c>
      <c r="J9" s="1" t="s">
        <v>450</v>
      </c>
      <c r="M9" s="2" t="str">
        <f t="shared" ca="1" si="0"/>
        <v>A</v>
      </c>
      <c r="N9" s="1" t="s">
        <v>825</v>
      </c>
      <c r="O9" s="1" t="s">
        <v>413</v>
      </c>
      <c r="P9" s="1" t="s">
        <v>453</v>
      </c>
      <c r="Q9" s="1">
        <v>97</v>
      </c>
      <c r="R9" s="1">
        <v>0.9</v>
      </c>
    </row>
    <row r="10" spans="1:21" ht="30" x14ac:dyDescent="0.25">
      <c r="A10" s="1" t="s">
        <v>826</v>
      </c>
      <c r="B10" s="1" t="s">
        <v>12</v>
      </c>
      <c r="C10" s="1" t="s">
        <v>6</v>
      </c>
      <c r="D10" s="1" t="s">
        <v>13</v>
      </c>
      <c r="E10" s="1" t="s">
        <v>7</v>
      </c>
      <c r="F10" s="1" t="s">
        <v>7</v>
      </c>
      <c r="G10" s="1">
        <v>25</v>
      </c>
      <c r="H10" s="1">
        <v>20</v>
      </c>
      <c r="I10" s="1">
        <v>30</v>
      </c>
      <c r="J10" s="1">
        <v>15</v>
      </c>
      <c r="M10" s="2" t="str">
        <f t="shared" ca="1" si="0"/>
        <v>D</v>
      </c>
      <c r="N10" s="1" t="s">
        <v>827</v>
      </c>
      <c r="O10" s="1" t="s">
        <v>413</v>
      </c>
      <c r="P10" s="1" t="s">
        <v>453</v>
      </c>
      <c r="Q10" s="1">
        <v>75</v>
      </c>
      <c r="R10" s="1">
        <v>0.9</v>
      </c>
    </row>
    <row r="11" spans="1:21" ht="30" x14ac:dyDescent="0.25">
      <c r="A11" s="1" t="s">
        <v>828</v>
      </c>
      <c r="B11" s="1" t="s">
        <v>12</v>
      </c>
      <c r="C11" s="1" t="s">
        <v>6</v>
      </c>
      <c r="D11" s="1" t="s">
        <v>13</v>
      </c>
      <c r="E11" s="1" t="s">
        <v>7</v>
      </c>
      <c r="F11" s="1" t="s">
        <v>7</v>
      </c>
      <c r="G11" s="1" t="s">
        <v>451</v>
      </c>
      <c r="H11" s="1" t="s">
        <v>445</v>
      </c>
      <c r="I11" s="1" t="s">
        <v>452</v>
      </c>
      <c r="J11" s="1" t="s">
        <v>450</v>
      </c>
      <c r="M11" s="2" t="str">
        <f t="shared" ca="1" si="0"/>
        <v>B</v>
      </c>
      <c r="N11" s="1" t="s">
        <v>825</v>
      </c>
      <c r="O11" s="1" t="s">
        <v>421</v>
      </c>
      <c r="P11" s="1" t="s">
        <v>453</v>
      </c>
      <c r="Q11" s="1">
        <v>94</v>
      </c>
      <c r="R11" s="1">
        <v>0.8</v>
      </c>
    </row>
    <row r="12" spans="1:21" ht="60" x14ac:dyDescent="0.25">
      <c r="A12" s="1" t="s">
        <v>829</v>
      </c>
      <c r="B12" s="1" t="s">
        <v>12</v>
      </c>
      <c r="C12" s="1" t="s">
        <v>6</v>
      </c>
      <c r="D12" s="1" t="s">
        <v>13</v>
      </c>
      <c r="E12" s="1" t="s">
        <v>7</v>
      </c>
      <c r="F12" s="1" t="s">
        <v>7</v>
      </c>
      <c r="G12" s="1">
        <v>25</v>
      </c>
      <c r="H12" s="1">
        <v>30</v>
      </c>
      <c r="I12" s="1">
        <v>20</v>
      </c>
      <c r="J12" s="1">
        <v>15</v>
      </c>
      <c r="M12" s="2" t="str">
        <f t="shared" ca="1" si="0"/>
        <v>C</v>
      </c>
      <c r="N12" s="1" t="s">
        <v>830</v>
      </c>
      <c r="O12" s="1" t="s">
        <v>442</v>
      </c>
      <c r="P12" s="1" t="s">
        <v>453</v>
      </c>
      <c r="Q12" s="1">
        <v>162</v>
      </c>
      <c r="R12" s="1">
        <v>1</v>
      </c>
    </row>
    <row r="13" spans="1:21" ht="60" x14ac:dyDescent="0.25">
      <c r="A13" s="1" t="s">
        <v>831</v>
      </c>
      <c r="B13" s="1" t="s">
        <v>12</v>
      </c>
      <c r="C13" s="1" t="s">
        <v>6</v>
      </c>
      <c r="D13" s="1" t="s">
        <v>13</v>
      </c>
      <c r="E13" s="1" t="s">
        <v>7</v>
      </c>
      <c r="F13" s="1" t="s">
        <v>7</v>
      </c>
      <c r="G13" s="1">
        <v>20</v>
      </c>
      <c r="H13" s="1">
        <v>25</v>
      </c>
      <c r="I13" s="1">
        <v>15</v>
      </c>
      <c r="J13" s="1">
        <v>30</v>
      </c>
      <c r="M13" s="2" t="str">
        <f t="shared" ca="1" si="0"/>
        <v>C</v>
      </c>
      <c r="N13" s="1" t="s">
        <v>832</v>
      </c>
      <c r="O13" s="1" t="s">
        <v>442</v>
      </c>
      <c r="P13" s="1" t="s">
        <v>453</v>
      </c>
      <c r="Q13" s="1">
        <v>116</v>
      </c>
      <c r="R13" s="1">
        <v>0.8</v>
      </c>
    </row>
    <row r="14" spans="1:21" ht="30" x14ac:dyDescent="0.25">
      <c r="A14" s="1" t="s">
        <v>833</v>
      </c>
      <c r="B14" s="1" t="s">
        <v>12</v>
      </c>
      <c r="C14" s="1" t="s">
        <v>6</v>
      </c>
      <c r="D14" s="1" t="s">
        <v>13</v>
      </c>
      <c r="E14" s="1" t="s">
        <v>7</v>
      </c>
      <c r="F14" s="1" t="s">
        <v>7</v>
      </c>
      <c r="G14" s="1">
        <v>30</v>
      </c>
      <c r="H14" s="1">
        <v>15</v>
      </c>
      <c r="I14" s="1">
        <v>20</v>
      </c>
      <c r="J14" s="1">
        <v>25</v>
      </c>
      <c r="M14" s="2" t="str">
        <f t="shared" ca="1" si="0"/>
        <v>C</v>
      </c>
      <c r="N14" s="1" t="s">
        <v>827</v>
      </c>
      <c r="O14" s="1" t="s">
        <v>413</v>
      </c>
      <c r="P14" s="1" t="s">
        <v>453</v>
      </c>
      <c r="Q14" s="1">
        <v>166</v>
      </c>
      <c r="R14" s="1">
        <v>0.8</v>
      </c>
    </row>
    <row r="15" spans="1:21" ht="30" x14ac:dyDescent="0.25">
      <c r="A15" s="1" t="s">
        <v>834</v>
      </c>
      <c r="B15" s="1" t="s">
        <v>12</v>
      </c>
      <c r="C15" s="1" t="s">
        <v>6</v>
      </c>
      <c r="D15" s="1" t="s">
        <v>13</v>
      </c>
      <c r="E15" s="1" t="s">
        <v>7</v>
      </c>
      <c r="F15" s="1" t="s">
        <v>7</v>
      </c>
      <c r="G15" s="1">
        <v>15</v>
      </c>
      <c r="H15" s="1">
        <v>20</v>
      </c>
      <c r="I15" s="1">
        <v>30</v>
      </c>
      <c r="J15" s="1">
        <v>25</v>
      </c>
      <c r="M15" s="2" t="str">
        <f t="shared" ca="1" si="0"/>
        <v>A</v>
      </c>
      <c r="N15" s="1" t="s">
        <v>827</v>
      </c>
      <c r="O15" s="1" t="s">
        <v>442</v>
      </c>
      <c r="P15" s="1" t="s">
        <v>453</v>
      </c>
      <c r="Q15" s="1">
        <v>124</v>
      </c>
      <c r="R15" s="1">
        <v>0.7</v>
      </c>
    </row>
    <row r="16" spans="1:21" ht="45" x14ac:dyDescent="0.25">
      <c r="A16" s="1" t="s">
        <v>835</v>
      </c>
      <c r="B16" s="1" t="s">
        <v>12</v>
      </c>
      <c r="C16" s="1" t="s">
        <v>6</v>
      </c>
      <c r="D16" s="1" t="s">
        <v>13</v>
      </c>
      <c r="E16" s="1" t="s">
        <v>7</v>
      </c>
      <c r="F16" s="1" t="s">
        <v>7</v>
      </c>
      <c r="G16" s="1">
        <f>-2/3</f>
        <v>-0.66666666666666663</v>
      </c>
      <c r="H16" s="1">
        <f>-1/4</f>
        <v>-0.25</v>
      </c>
      <c r="I16" s="13">
        <v>45750</v>
      </c>
      <c r="J16" s="13">
        <v>45689</v>
      </c>
      <c r="M16" s="2" t="str">
        <f t="shared" ca="1" si="0"/>
        <v>D</v>
      </c>
      <c r="N16" s="1" t="s">
        <v>836</v>
      </c>
      <c r="O16" s="1" t="s">
        <v>421</v>
      </c>
      <c r="P16" s="1" t="s">
        <v>453</v>
      </c>
      <c r="Q16" s="1">
        <v>86</v>
      </c>
      <c r="R16" s="1">
        <v>1</v>
      </c>
    </row>
    <row r="17" spans="1:18" ht="30" x14ac:dyDescent="0.25">
      <c r="A17" s="1" t="s">
        <v>837</v>
      </c>
      <c r="B17" s="1" t="s">
        <v>12</v>
      </c>
      <c r="C17" s="1" t="s">
        <v>6</v>
      </c>
      <c r="D17" s="1" t="s">
        <v>13</v>
      </c>
      <c r="E17" s="1" t="s">
        <v>7</v>
      </c>
      <c r="F17" s="1" t="s">
        <v>7</v>
      </c>
      <c r="G17" s="1">
        <v>30</v>
      </c>
      <c r="H17" s="1">
        <v>25</v>
      </c>
      <c r="I17" s="1">
        <v>15</v>
      </c>
      <c r="J17" s="1">
        <v>20</v>
      </c>
      <c r="M17" s="2" t="str">
        <f t="shared" ca="1" si="0"/>
        <v>D</v>
      </c>
      <c r="N17" s="1" t="s">
        <v>827</v>
      </c>
      <c r="O17" s="1" t="s">
        <v>413</v>
      </c>
      <c r="P17" s="1" t="s">
        <v>453</v>
      </c>
      <c r="Q17" s="1">
        <v>104</v>
      </c>
      <c r="R17" s="1">
        <v>0.7</v>
      </c>
    </row>
    <row r="18" spans="1:18" ht="45" x14ac:dyDescent="0.25">
      <c r="A18" s="1" t="s">
        <v>838</v>
      </c>
      <c r="B18" s="1" t="s">
        <v>12</v>
      </c>
      <c r="C18" s="1" t="s">
        <v>6</v>
      </c>
      <c r="D18" s="1" t="s">
        <v>13</v>
      </c>
      <c r="E18" s="1" t="s">
        <v>31</v>
      </c>
      <c r="F18" s="1" t="s">
        <v>31</v>
      </c>
      <c r="G18" s="1">
        <v>25</v>
      </c>
      <c r="H18" s="1">
        <v>30</v>
      </c>
      <c r="I18" s="1">
        <v>15</v>
      </c>
      <c r="J18" s="1">
        <v>20</v>
      </c>
      <c r="M18" s="2" t="str">
        <f t="shared" ca="1" si="0"/>
        <v>D</v>
      </c>
      <c r="N18" s="1" t="s">
        <v>839</v>
      </c>
      <c r="O18" s="1" t="s">
        <v>421</v>
      </c>
      <c r="P18" s="1" t="s">
        <v>454</v>
      </c>
      <c r="Q18" s="1">
        <v>128</v>
      </c>
      <c r="R18" s="1">
        <v>0.9</v>
      </c>
    </row>
    <row r="19" spans="1:18" ht="60" x14ac:dyDescent="0.25">
      <c r="A19" s="1" t="s">
        <v>840</v>
      </c>
      <c r="B19" s="1" t="s">
        <v>12</v>
      </c>
      <c r="C19" s="1" t="s">
        <v>6</v>
      </c>
      <c r="D19" s="1" t="s">
        <v>13</v>
      </c>
      <c r="E19" s="1" t="s">
        <v>31</v>
      </c>
      <c r="F19" s="1" t="s">
        <v>31</v>
      </c>
      <c r="G19" s="1">
        <v>20</v>
      </c>
      <c r="H19" s="1">
        <v>15</v>
      </c>
      <c r="I19" s="1">
        <v>25</v>
      </c>
      <c r="J19" s="1">
        <v>30</v>
      </c>
      <c r="M19" s="2" t="str">
        <f t="shared" ca="1" si="0"/>
        <v>D</v>
      </c>
      <c r="N19" s="1" t="s">
        <v>841</v>
      </c>
      <c r="O19" s="1" t="s">
        <v>413</v>
      </c>
      <c r="P19" s="1" t="s">
        <v>454</v>
      </c>
      <c r="Q19" s="1">
        <v>164</v>
      </c>
      <c r="R19" s="1">
        <v>0.9</v>
      </c>
    </row>
    <row r="20" spans="1:18" ht="45" x14ac:dyDescent="0.25">
      <c r="A20" s="1" t="s">
        <v>842</v>
      </c>
      <c r="B20" s="1" t="s">
        <v>12</v>
      </c>
      <c r="C20" s="1" t="s">
        <v>6</v>
      </c>
      <c r="D20" s="1" t="s">
        <v>13</v>
      </c>
      <c r="E20" s="1" t="s">
        <v>31</v>
      </c>
      <c r="F20" s="1" t="s">
        <v>31</v>
      </c>
      <c r="G20" s="1">
        <v>15</v>
      </c>
      <c r="H20" s="1">
        <v>30</v>
      </c>
      <c r="I20" s="1">
        <v>20</v>
      </c>
      <c r="J20" s="1">
        <v>25</v>
      </c>
      <c r="M20" s="2" t="str">
        <f t="shared" ca="1" si="0"/>
        <v>D</v>
      </c>
      <c r="N20" s="1" t="s">
        <v>843</v>
      </c>
      <c r="O20" s="1" t="s">
        <v>413</v>
      </c>
      <c r="P20" s="1" t="s">
        <v>454</v>
      </c>
      <c r="Q20" s="1">
        <v>87</v>
      </c>
      <c r="R20" s="1">
        <v>1</v>
      </c>
    </row>
    <row r="21" spans="1:18" ht="45" x14ac:dyDescent="0.25">
      <c r="A21" s="1" t="s">
        <v>844</v>
      </c>
      <c r="B21" s="1" t="s">
        <v>12</v>
      </c>
      <c r="C21" s="1" t="s">
        <v>6</v>
      </c>
      <c r="D21" s="1" t="s">
        <v>13</v>
      </c>
      <c r="E21" s="1" t="s">
        <v>31</v>
      </c>
      <c r="F21" s="1" t="s">
        <v>31</v>
      </c>
      <c r="G21" s="1">
        <v>15</v>
      </c>
      <c r="H21" s="1">
        <v>20</v>
      </c>
      <c r="I21" s="1">
        <v>30</v>
      </c>
      <c r="J21" s="1">
        <v>25</v>
      </c>
      <c r="M21" s="2" t="str">
        <f t="shared" ca="1" si="0"/>
        <v>D</v>
      </c>
      <c r="N21" s="1" t="s">
        <v>839</v>
      </c>
      <c r="O21" s="1" t="s">
        <v>413</v>
      </c>
      <c r="P21" s="1" t="s">
        <v>454</v>
      </c>
      <c r="Q21" s="1">
        <v>75</v>
      </c>
      <c r="R21" s="1">
        <v>0.8</v>
      </c>
    </row>
    <row r="22" spans="1:18" ht="30" x14ac:dyDescent="0.25">
      <c r="A22" s="1" t="s">
        <v>845</v>
      </c>
      <c r="B22" s="1" t="s">
        <v>12</v>
      </c>
      <c r="C22" s="1" t="s">
        <v>6</v>
      </c>
      <c r="D22" s="1" t="s">
        <v>13</v>
      </c>
      <c r="E22" s="1" t="s">
        <v>31</v>
      </c>
      <c r="F22" s="1" t="s">
        <v>31</v>
      </c>
      <c r="G22" s="1">
        <v>15</v>
      </c>
      <c r="H22" s="1">
        <v>20</v>
      </c>
      <c r="I22" s="1">
        <v>25</v>
      </c>
      <c r="J22" s="1">
        <v>30</v>
      </c>
      <c r="M22" s="2" t="str">
        <f t="shared" ca="1" si="0"/>
        <v>D</v>
      </c>
      <c r="N22" s="1" t="s">
        <v>846</v>
      </c>
      <c r="O22" s="1" t="s">
        <v>442</v>
      </c>
      <c r="P22" s="1" t="s">
        <v>454</v>
      </c>
      <c r="Q22" s="1">
        <v>122</v>
      </c>
      <c r="R22" s="1">
        <v>0.6</v>
      </c>
    </row>
    <row r="23" spans="1:18" ht="30" x14ac:dyDescent="0.25">
      <c r="A23" s="1" t="s">
        <v>847</v>
      </c>
      <c r="B23" s="1" t="s">
        <v>12</v>
      </c>
      <c r="C23" s="1" t="s">
        <v>6</v>
      </c>
      <c r="D23" s="1" t="s">
        <v>13</v>
      </c>
      <c r="E23" s="1" t="s">
        <v>31</v>
      </c>
      <c r="F23" s="1" t="s">
        <v>31</v>
      </c>
      <c r="G23" s="1">
        <v>25</v>
      </c>
      <c r="H23" s="1">
        <v>30</v>
      </c>
      <c r="I23" s="1">
        <v>20</v>
      </c>
      <c r="J23" s="1">
        <v>15</v>
      </c>
      <c r="M23" s="2" t="str">
        <f t="shared" ca="1" si="0"/>
        <v>C</v>
      </c>
      <c r="N23" s="1" t="s">
        <v>846</v>
      </c>
      <c r="O23" s="1" t="s">
        <v>442</v>
      </c>
      <c r="P23" s="1" t="s">
        <v>454</v>
      </c>
      <c r="Q23" s="1">
        <v>106</v>
      </c>
      <c r="R23" s="1">
        <v>0.7</v>
      </c>
    </row>
    <row r="24" spans="1:18" ht="45" x14ac:dyDescent="0.25">
      <c r="A24" s="1" t="s">
        <v>848</v>
      </c>
      <c r="B24" s="1" t="s">
        <v>12</v>
      </c>
      <c r="C24" s="1" t="s">
        <v>6</v>
      </c>
      <c r="D24" s="1" t="s">
        <v>13</v>
      </c>
      <c r="E24" s="1" t="s">
        <v>31</v>
      </c>
      <c r="F24" s="1" t="s">
        <v>31</v>
      </c>
      <c r="G24" s="1">
        <v>20</v>
      </c>
      <c r="H24" s="1">
        <v>15</v>
      </c>
      <c r="I24" s="1">
        <v>30</v>
      </c>
      <c r="J24" s="1">
        <v>25</v>
      </c>
      <c r="M24" s="2" t="str">
        <f t="shared" ca="1" si="0"/>
        <v>C</v>
      </c>
      <c r="N24" s="1" t="s">
        <v>849</v>
      </c>
      <c r="O24" s="1" t="s">
        <v>421</v>
      </c>
      <c r="P24" s="1" t="s">
        <v>454</v>
      </c>
      <c r="Q24" s="1">
        <v>93</v>
      </c>
      <c r="R24" s="1">
        <v>0.9</v>
      </c>
    </row>
    <row r="25" spans="1:18" ht="30" x14ac:dyDescent="0.25">
      <c r="A25" s="1" t="s">
        <v>850</v>
      </c>
      <c r="B25" s="1" t="s">
        <v>12</v>
      </c>
      <c r="C25" s="1" t="s">
        <v>6</v>
      </c>
      <c r="D25" s="1" t="s">
        <v>13</v>
      </c>
      <c r="E25" s="1" t="s">
        <v>31</v>
      </c>
      <c r="F25" s="1" t="s">
        <v>31</v>
      </c>
      <c r="G25" s="1">
        <v>20</v>
      </c>
      <c r="H25" s="1">
        <v>30</v>
      </c>
      <c r="I25" s="1">
        <v>15</v>
      </c>
      <c r="J25" s="1">
        <v>25</v>
      </c>
      <c r="M25" s="2" t="str">
        <f t="shared" ca="1" si="0"/>
        <v>C</v>
      </c>
      <c r="N25" s="1" t="s">
        <v>846</v>
      </c>
      <c r="O25" s="1" t="s">
        <v>442</v>
      </c>
      <c r="P25" s="1" t="s">
        <v>454</v>
      </c>
      <c r="Q25" s="1">
        <v>102</v>
      </c>
      <c r="R25" s="1">
        <v>1</v>
      </c>
    </row>
    <row r="26" spans="1:18" ht="30" x14ac:dyDescent="0.25">
      <c r="A26" s="1" t="s">
        <v>851</v>
      </c>
      <c r="B26" s="1" t="s">
        <v>12</v>
      </c>
      <c r="C26" s="1" t="s">
        <v>6</v>
      </c>
      <c r="D26" s="1" t="s">
        <v>13</v>
      </c>
      <c r="E26" s="1" t="s">
        <v>31</v>
      </c>
      <c r="F26" s="1" t="s">
        <v>31</v>
      </c>
      <c r="G26" s="1">
        <v>15</v>
      </c>
      <c r="H26" s="1">
        <v>20</v>
      </c>
      <c r="I26" s="1">
        <v>25</v>
      </c>
      <c r="J26" s="1">
        <v>30</v>
      </c>
      <c r="M26" s="2" t="str">
        <f t="shared" ca="1" si="0"/>
        <v>C</v>
      </c>
      <c r="N26" s="1" t="s">
        <v>846</v>
      </c>
      <c r="O26" s="1" t="s">
        <v>442</v>
      </c>
      <c r="P26" s="1" t="s">
        <v>454</v>
      </c>
      <c r="Q26" s="1">
        <v>114</v>
      </c>
      <c r="R26" s="1">
        <v>0.7</v>
      </c>
    </row>
    <row r="27" spans="1:18" ht="30" x14ac:dyDescent="0.25">
      <c r="A27" s="1" t="s">
        <v>852</v>
      </c>
      <c r="B27" s="1" t="s">
        <v>12</v>
      </c>
      <c r="C27" s="1" t="s">
        <v>6</v>
      </c>
      <c r="D27" s="1" t="s">
        <v>13</v>
      </c>
      <c r="E27" s="1" t="s">
        <v>31</v>
      </c>
      <c r="F27" s="1" t="s">
        <v>31</v>
      </c>
      <c r="G27" s="1">
        <v>20</v>
      </c>
      <c r="H27" s="1">
        <v>15</v>
      </c>
      <c r="I27" s="1">
        <v>30</v>
      </c>
      <c r="J27" s="1">
        <v>25</v>
      </c>
      <c r="M27" s="2" t="str">
        <f t="shared" ca="1" si="0"/>
        <v>C</v>
      </c>
      <c r="N27" s="1" t="s">
        <v>846</v>
      </c>
      <c r="O27" s="1" t="s">
        <v>421</v>
      </c>
      <c r="P27" s="1" t="s">
        <v>454</v>
      </c>
      <c r="Q27" s="1">
        <v>103</v>
      </c>
      <c r="R27" s="1">
        <v>0.6</v>
      </c>
    </row>
    <row r="28" spans="1:18" ht="60" x14ac:dyDescent="0.25">
      <c r="A28" s="1" t="s">
        <v>853</v>
      </c>
      <c r="B28" s="1" t="s">
        <v>12</v>
      </c>
      <c r="C28" s="1" t="s">
        <v>6</v>
      </c>
      <c r="D28" s="1" t="s">
        <v>13</v>
      </c>
      <c r="E28" s="1" t="s">
        <v>33</v>
      </c>
      <c r="F28" s="1" t="s">
        <v>33</v>
      </c>
      <c r="G28" s="1">
        <v>15</v>
      </c>
      <c r="H28" s="1">
        <v>25</v>
      </c>
      <c r="I28" s="1">
        <v>20</v>
      </c>
      <c r="J28" s="1">
        <v>30</v>
      </c>
      <c r="M28" s="2" t="str">
        <f t="shared" ca="1" si="0"/>
        <v>A</v>
      </c>
      <c r="N28" s="1" t="s">
        <v>854</v>
      </c>
      <c r="O28" s="1" t="s">
        <v>421</v>
      </c>
      <c r="P28" s="1" t="s">
        <v>455</v>
      </c>
      <c r="Q28" s="1">
        <v>63</v>
      </c>
      <c r="R28" s="1">
        <v>0.6</v>
      </c>
    </row>
    <row r="29" spans="1:18" ht="60" x14ac:dyDescent="0.25">
      <c r="A29" s="1" t="s">
        <v>855</v>
      </c>
      <c r="B29" s="1" t="s">
        <v>12</v>
      </c>
      <c r="C29" s="1" t="s">
        <v>6</v>
      </c>
      <c r="D29" s="1" t="s">
        <v>13</v>
      </c>
      <c r="E29" s="1" t="s">
        <v>33</v>
      </c>
      <c r="F29" s="1" t="s">
        <v>33</v>
      </c>
      <c r="G29" s="1">
        <v>20</v>
      </c>
      <c r="H29" s="1">
        <v>15</v>
      </c>
      <c r="I29" s="1">
        <v>30</v>
      </c>
      <c r="J29" s="1">
        <v>25</v>
      </c>
      <c r="M29" s="2" t="str">
        <f t="shared" ca="1" si="0"/>
        <v>A</v>
      </c>
      <c r="N29" s="1" t="s">
        <v>854</v>
      </c>
      <c r="O29" s="1" t="s">
        <v>442</v>
      </c>
      <c r="P29" s="1" t="s">
        <v>455</v>
      </c>
      <c r="Q29" s="1">
        <v>72</v>
      </c>
      <c r="R29" s="1">
        <v>0.9</v>
      </c>
    </row>
    <row r="30" spans="1:18" ht="60" x14ac:dyDescent="0.25">
      <c r="A30" s="1" t="s">
        <v>856</v>
      </c>
      <c r="B30" s="1" t="s">
        <v>12</v>
      </c>
      <c r="C30" s="1" t="s">
        <v>6</v>
      </c>
      <c r="D30" s="1" t="s">
        <v>13</v>
      </c>
      <c r="E30" s="1" t="s">
        <v>33</v>
      </c>
      <c r="F30" s="1" t="s">
        <v>33</v>
      </c>
      <c r="G30" s="1">
        <v>25</v>
      </c>
      <c r="H30" s="1">
        <v>30</v>
      </c>
      <c r="I30" s="1">
        <v>20</v>
      </c>
      <c r="J30" s="1">
        <v>15</v>
      </c>
      <c r="M30" s="2" t="str">
        <f t="shared" ca="1" si="0"/>
        <v>A</v>
      </c>
      <c r="N30" s="1" t="s">
        <v>854</v>
      </c>
      <c r="O30" s="1" t="s">
        <v>421</v>
      </c>
      <c r="P30" s="1" t="s">
        <v>455</v>
      </c>
      <c r="Q30" s="1">
        <v>109</v>
      </c>
      <c r="R30" s="1">
        <v>1</v>
      </c>
    </row>
    <row r="31" spans="1:18" ht="45" x14ac:dyDescent="0.25">
      <c r="A31" s="1" t="s">
        <v>857</v>
      </c>
      <c r="B31" s="1" t="s">
        <v>12</v>
      </c>
      <c r="C31" s="1" t="s">
        <v>6</v>
      </c>
      <c r="D31" s="1" t="s">
        <v>13</v>
      </c>
      <c r="E31" s="1" t="s">
        <v>33</v>
      </c>
      <c r="F31" s="1" t="s">
        <v>33</v>
      </c>
      <c r="G31" s="1">
        <v>25</v>
      </c>
      <c r="H31" s="1">
        <v>15</v>
      </c>
      <c r="I31" s="1">
        <v>20</v>
      </c>
      <c r="J31" s="1">
        <v>30</v>
      </c>
      <c r="M31" s="2" t="str">
        <f t="shared" ca="1" si="0"/>
        <v>C</v>
      </c>
      <c r="N31" s="1" t="s">
        <v>858</v>
      </c>
      <c r="O31" s="1" t="s">
        <v>421</v>
      </c>
      <c r="P31" s="1" t="s">
        <v>455</v>
      </c>
      <c r="Q31" s="1">
        <v>153</v>
      </c>
      <c r="R31" s="1">
        <v>0.8</v>
      </c>
    </row>
    <row r="32" spans="1:18" ht="60" x14ac:dyDescent="0.25">
      <c r="A32" s="1" t="s">
        <v>859</v>
      </c>
      <c r="B32" s="1" t="s">
        <v>12</v>
      </c>
      <c r="C32" s="1" t="s">
        <v>6</v>
      </c>
      <c r="D32" s="1" t="s">
        <v>13</v>
      </c>
      <c r="E32" s="1" t="s">
        <v>33</v>
      </c>
      <c r="F32" s="1" t="s">
        <v>33</v>
      </c>
      <c r="G32" s="1">
        <v>25</v>
      </c>
      <c r="H32" s="1">
        <v>20</v>
      </c>
      <c r="I32" s="1">
        <v>15</v>
      </c>
      <c r="J32" s="1">
        <v>30</v>
      </c>
      <c r="M32" s="2" t="str">
        <f t="shared" ca="1" si="0"/>
        <v>D</v>
      </c>
      <c r="N32" s="1" t="s">
        <v>854</v>
      </c>
      <c r="O32" s="1" t="s">
        <v>413</v>
      </c>
      <c r="P32" s="1" t="s">
        <v>455</v>
      </c>
      <c r="Q32" s="1">
        <v>71</v>
      </c>
      <c r="R32" s="1">
        <v>0.6</v>
      </c>
    </row>
    <row r="33" spans="1:18" ht="60" x14ac:dyDescent="0.25">
      <c r="A33" s="1" t="s">
        <v>860</v>
      </c>
      <c r="B33" s="1" t="s">
        <v>12</v>
      </c>
      <c r="C33" s="1" t="s">
        <v>6</v>
      </c>
      <c r="D33" s="1" t="s">
        <v>13</v>
      </c>
      <c r="E33" s="1" t="s">
        <v>33</v>
      </c>
      <c r="F33" s="1" t="s">
        <v>33</v>
      </c>
      <c r="G33" s="1">
        <v>25</v>
      </c>
      <c r="H33" s="1">
        <v>30</v>
      </c>
      <c r="I33" s="1">
        <v>15</v>
      </c>
      <c r="J33" s="1">
        <v>20</v>
      </c>
      <c r="M33" s="2" t="str">
        <f t="shared" ca="1" si="0"/>
        <v>A</v>
      </c>
      <c r="N33" s="1" t="s">
        <v>854</v>
      </c>
      <c r="O33" s="1" t="s">
        <v>413</v>
      </c>
      <c r="P33" s="1" t="s">
        <v>455</v>
      </c>
      <c r="Q33" s="1">
        <v>162</v>
      </c>
      <c r="R33" s="1">
        <v>0.8</v>
      </c>
    </row>
    <row r="34" spans="1:18" ht="45" x14ac:dyDescent="0.25">
      <c r="A34" s="1" t="s">
        <v>456</v>
      </c>
      <c r="B34" s="1" t="s">
        <v>12</v>
      </c>
      <c r="C34" s="1" t="s">
        <v>6</v>
      </c>
      <c r="D34" s="1" t="s">
        <v>13</v>
      </c>
      <c r="E34" s="1" t="s">
        <v>33</v>
      </c>
      <c r="F34" s="1" t="s">
        <v>33</v>
      </c>
      <c r="G34" s="1">
        <v>30</v>
      </c>
      <c r="H34" s="1">
        <v>15</v>
      </c>
      <c r="I34" s="1">
        <v>20</v>
      </c>
      <c r="J34" s="1">
        <v>25</v>
      </c>
      <c r="M34" s="2" t="str">
        <f t="shared" ca="1" si="0"/>
        <v>D</v>
      </c>
      <c r="N34" s="1" t="s">
        <v>861</v>
      </c>
      <c r="O34" s="1" t="s">
        <v>442</v>
      </c>
      <c r="P34" s="1" t="s">
        <v>455</v>
      </c>
      <c r="Q34" s="1">
        <v>175</v>
      </c>
      <c r="R34" s="1">
        <v>0.8</v>
      </c>
    </row>
    <row r="35" spans="1:18" ht="60" x14ac:dyDescent="0.25">
      <c r="A35" s="1" t="s">
        <v>862</v>
      </c>
      <c r="B35" s="1" t="s">
        <v>12</v>
      </c>
      <c r="C35" s="1" t="s">
        <v>6</v>
      </c>
      <c r="D35" s="1" t="s">
        <v>13</v>
      </c>
      <c r="E35" s="1" t="s">
        <v>33</v>
      </c>
      <c r="F35" s="1" t="s">
        <v>33</v>
      </c>
      <c r="G35" s="1">
        <v>20</v>
      </c>
      <c r="H35" s="1">
        <v>15</v>
      </c>
      <c r="I35" s="1">
        <v>25</v>
      </c>
      <c r="J35" s="1">
        <v>30</v>
      </c>
      <c r="M35" s="2" t="str">
        <f t="shared" ca="1" si="0"/>
        <v>A</v>
      </c>
      <c r="N35" s="1" t="s">
        <v>854</v>
      </c>
      <c r="O35" s="1" t="s">
        <v>421</v>
      </c>
      <c r="P35" s="1" t="s">
        <v>455</v>
      </c>
      <c r="Q35" s="1">
        <v>117</v>
      </c>
      <c r="R35" s="1">
        <v>0.7</v>
      </c>
    </row>
    <row r="36" spans="1:18" ht="60" x14ac:dyDescent="0.25">
      <c r="A36" s="1" t="s">
        <v>863</v>
      </c>
      <c r="B36" s="1" t="s">
        <v>12</v>
      </c>
      <c r="C36" s="1" t="s">
        <v>6</v>
      </c>
      <c r="D36" s="1" t="s">
        <v>13</v>
      </c>
      <c r="E36" s="1" t="s">
        <v>33</v>
      </c>
      <c r="F36" s="1" t="s">
        <v>33</v>
      </c>
      <c r="G36" s="1">
        <v>15</v>
      </c>
      <c r="H36" s="1">
        <v>20</v>
      </c>
      <c r="I36" s="1">
        <v>25</v>
      </c>
      <c r="J36" s="1">
        <v>30</v>
      </c>
      <c r="M36" s="2" t="str">
        <f t="shared" ca="1" si="0"/>
        <v>A</v>
      </c>
      <c r="N36" s="1" t="s">
        <v>854</v>
      </c>
      <c r="O36" s="1" t="s">
        <v>413</v>
      </c>
      <c r="P36" s="1" t="s">
        <v>455</v>
      </c>
      <c r="Q36" s="1">
        <v>98</v>
      </c>
      <c r="R36" s="1">
        <v>0.8</v>
      </c>
    </row>
    <row r="37" spans="1:18" ht="60" x14ac:dyDescent="0.25">
      <c r="A37" s="1" t="s">
        <v>864</v>
      </c>
      <c r="B37" s="1" t="s">
        <v>12</v>
      </c>
      <c r="C37" s="1" t="s">
        <v>6</v>
      </c>
      <c r="D37" s="1" t="s">
        <v>13</v>
      </c>
      <c r="E37" s="1" t="s">
        <v>33</v>
      </c>
      <c r="F37" s="1" t="s">
        <v>33</v>
      </c>
      <c r="G37" s="1">
        <v>20</v>
      </c>
      <c r="H37" s="1">
        <v>25</v>
      </c>
      <c r="I37" s="1">
        <v>30</v>
      </c>
      <c r="J37" s="1">
        <v>15</v>
      </c>
      <c r="M37" s="2" t="str">
        <f t="shared" ca="1" si="0"/>
        <v>D</v>
      </c>
      <c r="N37" s="1" t="s">
        <v>854</v>
      </c>
      <c r="O37" s="1" t="s">
        <v>442</v>
      </c>
      <c r="P37" s="1" t="s">
        <v>455</v>
      </c>
      <c r="Q37" s="1">
        <v>103</v>
      </c>
      <c r="R37" s="1">
        <v>0.7</v>
      </c>
    </row>
    <row r="38" spans="1:18" ht="45" x14ac:dyDescent="0.25">
      <c r="A38" s="1" t="s">
        <v>865</v>
      </c>
      <c r="B38" s="1" t="s">
        <v>12</v>
      </c>
      <c r="C38" s="1" t="s">
        <v>6</v>
      </c>
      <c r="D38" s="1" t="s">
        <v>13</v>
      </c>
      <c r="E38" s="1" t="s">
        <v>32</v>
      </c>
      <c r="F38" s="1" t="s">
        <v>32</v>
      </c>
      <c r="G38" s="1">
        <v>20</v>
      </c>
      <c r="H38" s="1">
        <v>30</v>
      </c>
      <c r="I38" s="1">
        <v>15</v>
      </c>
      <c r="J38" s="1">
        <v>25</v>
      </c>
      <c r="M38" s="2" t="str">
        <f t="shared" ca="1" si="0"/>
        <v>B</v>
      </c>
      <c r="N38" s="1" t="s">
        <v>866</v>
      </c>
      <c r="O38" s="1" t="s">
        <v>413</v>
      </c>
      <c r="P38" s="1" t="s">
        <v>457</v>
      </c>
      <c r="Q38" s="1">
        <v>82</v>
      </c>
      <c r="R38" s="1">
        <v>0.8</v>
      </c>
    </row>
    <row r="39" spans="1:18" ht="45" x14ac:dyDescent="0.25">
      <c r="A39" s="1" t="s">
        <v>867</v>
      </c>
      <c r="B39" s="1" t="s">
        <v>12</v>
      </c>
      <c r="C39" s="1" t="s">
        <v>6</v>
      </c>
      <c r="D39" s="1" t="s">
        <v>13</v>
      </c>
      <c r="E39" s="1" t="s">
        <v>32</v>
      </c>
      <c r="F39" s="1" t="s">
        <v>32</v>
      </c>
      <c r="G39" s="1">
        <v>25</v>
      </c>
      <c r="H39" s="1">
        <v>30</v>
      </c>
      <c r="I39" s="1">
        <v>15</v>
      </c>
      <c r="J39" s="1">
        <v>20</v>
      </c>
      <c r="M39" s="2" t="str">
        <f t="shared" ca="1" si="0"/>
        <v>A</v>
      </c>
      <c r="N39" s="1" t="s">
        <v>868</v>
      </c>
      <c r="O39" s="1" t="s">
        <v>413</v>
      </c>
      <c r="P39" s="1" t="s">
        <v>457</v>
      </c>
      <c r="Q39" s="1">
        <v>62</v>
      </c>
      <c r="R39" s="1">
        <v>0.9</v>
      </c>
    </row>
    <row r="40" spans="1:18" ht="45" x14ac:dyDescent="0.25">
      <c r="A40" s="1" t="s">
        <v>869</v>
      </c>
      <c r="B40" s="1" t="s">
        <v>12</v>
      </c>
      <c r="C40" s="1" t="s">
        <v>6</v>
      </c>
      <c r="D40" s="1" t="s">
        <v>13</v>
      </c>
      <c r="E40" s="1" t="s">
        <v>32</v>
      </c>
      <c r="F40" s="1" t="s">
        <v>32</v>
      </c>
      <c r="G40" s="1">
        <v>15</v>
      </c>
      <c r="H40" s="1">
        <v>30</v>
      </c>
      <c r="I40" s="1">
        <v>20</v>
      </c>
      <c r="J40" s="1">
        <v>25</v>
      </c>
      <c r="M40" s="2" t="str">
        <f t="shared" ca="1" si="0"/>
        <v>D</v>
      </c>
      <c r="N40" s="1" t="s">
        <v>870</v>
      </c>
      <c r="O40" s="1" t="s">
        <v>442</v>
      </c>
      <c r="P40" s="1" t="s">
        <v>457</v>
      </c>
      <c r="Q40" s="1">
        <v>98</v>
      </c>
      <c r="R40" s="1">
        <v>1</v>
      </c>
    </row>
    <row r="41" spans="1:18" ht="45" x14ac:dyDescent="0.25">
      <c r="A41" s="1" t="s">
        <v>871</v>
      </c>
      <c r="B41" s="1" t="s">
        <v>12</v>
      </c>
      <c r="C41" s="1" t="s">
        <v>6</v>
      </c>
      <c r="D41" s="1" t="s">
        <v>13</v>
      </c>
      <c r="E41" s="1" t="s">
        <v>32</v>
      </c>
      <c r="F41" s="1" t="s">
        <v>32</v>
      </c>
      <c r="G41" s="1">
        <v>20</v>
      </c>
      <c r="H41" s="1">
        <v>15</v>
      </c>
      <c r="I41" s="1">
        <v>30</v>
      </c>
      <c r="J41" s="1">
        <v>25</v>
      </c>
      <c r="M41" s="2" t="str">
        <f t="shared" ca="1" si="0"/>
        <v>B</v>
      </c>
      <c r="N41" s="1" t="s">
        <v>872</v>
      </c>
      <c r="O41" s="1" t="s">
        <v>413</v>
      </c>
      <c r="P41" s="1" t="s">
        <v>457</v>
      </c>
      <c r="Q41" s="1">
        <v>115</v>
      </c>
      <c r="R41" s="1">
        <v>0.8</v>
      </c>
    </row>
    <row r="42" spans="1:18" ht="45" x14ac:dyDescent="0.25">
      <c r="A42" s="1" t="s">
        <v>873</v>
      </c>
      <c r="B42" s="1" t="s">
        <v>12</v>
      </c>
      <c r="C42" s="1" t="s">
        <v>6</v>
      </c>
      <c r="D42" s="1" t="s">
        <v>13</v>
      </c>
      <c r="E42" s="1" t="s">
        <v>32</v>
      </c>
      <c r="F42" s="1" t="s">
        <v>32</v>
      </c>
      <c r="G42" s="1">
        <v>30</v>
      </c>
      <c r="H42" s="1">
        <v>15</v>
      </c>
      <c r="I42" s="1">
        <v>25</v>
      </c>
      <c r="J42" s="1">
        <v>20</v>
      </c>
      <c r="M42" s="2" t="str">
        <f t="shared" ca="1" si="0"/>
        <v>B</v>
      </c>
      <c r="N42" s="1" t="s">
        <v>868</v>
      </c>
      <c r="O42" s="1" t="s">
        <v>421</v>
      </c>
      <c r="P42" s="1" t="s">
        <v>457</v>
      </c>
      <c r="Q42" s="1">
        <v>112</v>
      </c>
      <c r="R42" s="1">
        <v>0.7</v>
      </c>
    </row>
    <row r="43" spans="1:18" ht="30" x14ac:dyDescent="0.25">
      <c r="A43" s="1" t="s">
        <v>874</v>
      </c>
      <c r="B43" s="1" t="s">
        <v>12</v>
      </c>
      <c r="C43" s="1" t="s">
        <v>6</v>
      </c>
      <c r="D43" s="1" t="s">
        <v>13</v>
      </c>
      <c r="E43" s="1" t="s">
        <v>32</v>
      </c>
      <c r="F43" s="1" t="s">
        <v>32</v>
      </c>
      <c r="G43" s="1">
        <v>30</v>
      </c>
      <c r="H43" s="1">
        <v>20</v>
      </c>
      <c r="I43" s="1">
        <v>25</v>
      </c>
      <c r="J43" s="1">
        <v>15</v>
      </c>
      <c r="M43" s="2" t="str">
        <f t="shared" ca="1" si="0"/>
        <v>A</v>
      </c>
      <c r="N43" s="1" t="s">
        <v>875</v>
      </c>
      <c r="O43" s="1" t="s">
        <v>442</v>
      </c>
      <c r="P43" s="1" t="s">
        <v>457</v>
      </c>
      <c r="Q43" s="1">
        <v>86</v>
      </c>
      <c r="R43" s="1">
        <v>1</v>
      </c>
    </row>
    <row r="44" spans="1:18" ht="30" x14ac:dyDescent="0.25">
      <c r="A44" s="1" t="s">
        <v>876</v>
      </c>
      <c r="B44" s="1" t="s">
        <v>12</v>
      </c>
      <c r="C44" s="1" t="s">
        <v>6</v>
      </c>
      <c r="D44" s="1" t="s">
        <v>13</v>
      </c>
      <c r="E44" s="1" t="s">
        <v>32</v>
      </c>
      <c r="F44" s="1" t="s">
        <v>32</v>
      </c>
      <c r="G44" s="1">
        <v>20</v>
      </c>
      <c r="H44" s="1">
        <v>25</v>
      </c>
      <c r="I44" s="1">
        <v>30</v>
      </c>
      <c r="J44" s="1">
        <v>15</v>
      </c>
      <c r="M44" s="2" t="str">
        <f t="shared" ca="1" si="0"/>
        <v>C</v>
      </c>
      <c r="N44" s="1" t="s">
        <v>875</v>
      </c>
      <c r="O44" s="1" t="s">
        <v>413</v>
      </c>
      <c r="P44" s="1" t="s">
        <v>457</v>
      </c>
      <c r="Q44" s="1">
        <v>66</v>
      </c>
      <c r="R44" s="1">
        <v>1</v>
      </c>
    </row>
    <row r="45" spans="1:18" ht="30" x14ac:dyDescent="0.25">
      <c r="A45" s="1" t="s">
        <v>877</v>
      </c>
      <c r="B45" s="1" t="s">
        <v>12</v>
      </c>
      <c r="C45" s="1" t="s">
        <v>6</v>
      </c>
      <c r="D45" s="1" t="s">
        <v>13</v>
      </c>
      <c r="E45" s="1" t="s">
        <v>32</v>
      </c>
      <c r="F45" s="1" t="s">
        <v>32</v>
      </c>
      <c r="G45" s="1">
        <v>15</v>
      </c>
      <c r="H45" s="1">
        <v>20</v>
      </c>
      <c r="I45" s="1">
        <v>30</v>
      </c>
      <c r="J45" s="1">
        <v>25</v>
      </c>
      <c r="M45" s="2" t="str">
        <f t="shared" ca="1" si="0"/>
        <v>D</v>
      </c>
      <c r="N45" s="1" t="s">
        <v>875</v>
      </c>
      <c r="O45" s="1" t="s">
        <v>421</v>
      </c>
      <c r="P45" s="1" t="s">
        <v>457</v>
      </c>
      <c r="Q45" s="1">
        <v>63</v>
      </c>
      <c r="R45" s="1">
        <v>0.7</v>
      </c>
    </row>
    <row r="46" spans="1:18" ht="30" x14ac:dyDescent="0.25">
      <c r="A46" s="1" t="s">
        <v>878</v>
      </c>
      <c r="B46" s="1" t="s">
        <v>12</v>
      </c>
      <c r="C46" s="1" t="s">
        <v>6</v>
      </c>
      <c r="D46" s="1" t="s">
        <v>13</v>
      </c>
      <c r="E46" s="1" t="s">
        <v>32</v>
      </c>
      <c r="F46" s="1" t="s">
        <v>32</v>
      </c>
      <c r="G46" s="1">
        <v>25</v>
      </c>
      <c r="H46" s="1">
        <v>20</v>
      </c>
      <c r="I46" s="1">
        <v>30</v>
      </c>
      <c r="J46" s="1">
        <v>15</v>
      </c>
      <c r="M46" s="2" t="str">
        <f t="shared" ca="1" si="0"/>
        <v>D</v>
      </c>
      <c r="N46" s="1" t="s">
        <v>875</v>
      </c>
      <c r="O46" s="1" t="s">
        <v>413</v>
      </c>
      <c r="P46" s="1" t="s">
        <v>457</v>
      </c>
      <c r="Q46" s="1">
        <v>100</v>
      </c>
      <c r="R46" s="1">
        <v>0.9</v>
      </c>
    </row>
    <row r="47" spans="1:18" ht="45" x14ac:dyDescent="0.25">
      <c r="A47" s="1" t="s">
        <v>879</v>
      </c>
      <c r="B47" s="1" t="s">
        <v>12</v>
      </c>
      <c r="C47" s="1" t="s">
        <v>6</v>
      </c>
      <c r="D47" s="1" t="s">
        <v>13</v>
      </c>
      <c r="E47" s="1" t="s">
        <v>32</v>
      </c>
      <c r="F47" s="1" t="s">
        <v>32</v>
      </c>
      <c r="G47" s="1">
        <v>30</v>
      </c>
      <c r="H47" s="1">
        <v>15</v>
      </c>
      <c r="I47" s="1">
        <v>20</v>
      </c>
      <c r="J47" s="1">
        <v>25</v>
      </c>
      <c r="M47" s="2" t="str">
        <f t="shared" ca="1" si="0"/>
        <v>B</v>
      </c>
      <c r="N47" s="1" t="s">
        <v>866</v>
      </c>
      <c r="O47" s="1" t="s">
        <v>421</v>
      </c>
      <c r="P47" s="1" t="s">
        <v>457</v>
      </c>
      <c r="Q47" s="1">
        <v>141</v>
      </c>
      <c r="R47" s="1">
        <v>0.8</v>
      </c>
    </row>
    <row r="48" spans="1:18" ht="45" x14ac:dyDescent="0.25">
      <c r="A48" s="1" t="s">
        <v>880</v>
      </c>
      <c r="B48" s="1" t="s">
        <v>12</v>
      </c>
      <c r="C48" s="1" t="s">
        <v>6</v>
      </c>
      <c r="D48" s="1" t="s">
        <v>13</v>
      </c>
      <c r="E48" s="1" t="s">
        <v>50</v>
      </c>
      <c r="F48" s="1" t="s">
        <v>50</v>
      </c>
      <c r="G48" s="1">
        <v>20</v>
      </c>
      <c r="H48" s="1">
        <v>15</v>
      </c>
      <c r="I48" s="1">
        <v>25</v>
      </c>
      <c r="J48" s="1">
        <v>30</v>
      </c>
      <c r="M48" s="2" t="str">
        <f t="shared" ca="1" si="0"/>
        <v>D</v>
      </c>
      <c r="N48" s="1" t="s">
        <v>881</v>
      </c>
      <c r="O48" s="1" t="s">
        <v>413</v>
      </c>
      <c r="P48" s="1" t="s">
        <v>458</v>
      </c>
      <c r="Q48" s="1">
        <v>91</v>
      </c>
      <c r="R48" s="1">
        <v>0.9</v>
      </c>
    </row>
    <row r="49" spans="1:18" ht="45" x14ac:dyDescent="0.25">
      <c r="A49" s="1" t="s">
        <v>882</v>
      </c>
      <c r="B49" s="1" t="s">
        <v>12</v>
      </c>
      <c r="C49" s="1" t="s">
        <v>6</v>
      </c>
      <c r="D49" s="1" t="s">
        <v>13</v>
      </c>
      <c r="E49" s="1" t="s">
        <v>50</v>
      </c>
      <c r="F49" s="1" t="s">
        <v>50</v>
      </c>
      <c r="G49" s="1">
        <v>15</v>
      </c>
      <c r="H49" s="1">
        <v>20</v>
      </c>
      <c r="I49" s="1">
        <v>30</v>
      </c>
      <c r="J49" s="1">
        <v>25</v>
      </c>
      <c r="M49" s="2" t="str">
        <f t="shared" ca="1" si="0"/>
        <v>B</v>
      </c>
      <c r="N49" s="1" t="s">
        <v>883</v>
      </c>
      <c r="O49" s="1" t="s">
        <v>442</v>
      </c>
      <c r="P49" s="1" t="s">
        <v>458</v>
      </c>
      <c r="Q49" s="1">
        <v>78</v>
      </c>
      <c r="R49" s="1">
        <v>0.8</v>
      </c>
    </row>
    <row r="50" spans="1:18" ht="45" x14ac:dyDescent="0.25">
      <c r="A50" s="1" t="s">
        <v>884</v>
      </c>
      <c r="B50" s="1" t="s">
        <v>12</v>
      </c>
      <c r="C50" s="1" t="s">
        <v>6</v>
      </c>
      <c r="D50" s="1" t="s">
        <v>13</v>
      </c>
      <c r="E50" s="1" t="s">
        <v>50</v>
      </c>
      <c r="F50" s="1" t="s">
        <v>50</v>
      </c>
      <c r="G50" s="13">
        <v>45689</v>
      </c>
      <c r="H50" s="1">
        <f>-2/3</f>
        <v>-0.66666666666666663</v>
      </c>
      <c r="I50" s="1">
        <f>-1/4</f>
        <v>-0.25</v>
      </c>
      <c r="J50" s="13">
        <v>45750</v>
      </c>
      <c r="M50" s="2" t="str">
        <f t="shared" ca="1" si="0"/>
        <v>C</v>
      </c>
      <c r="N50" s="1" t="s">
        <v>885</v>
      </c>
      <c r="O50" s="1" t="s">
        <v>442</v>
      </c>
      <c r="P50" s="1" t="s">
        <v>458</v>
      </c>
      <c r="Q50" s="1">
        <v>69</v>
      </c>
      <c r="R50" s="1">
        <v>0.9</v>
      </c>
    </row>
    <row r="51" spans="1:18" ht="45" x14ac:dyDescent="0.25">
      <c r="A51" s="1" t="s">
        <v>886</v>
      </c>
      <c r="B51" s="1" t="s">
        <v>12</v>
      </c>
      <c r="C51" s="1" t="s">
        <v>6</v>
      </c>
      <c r="D51" s="1" t="s">
        <v>13</v>
      </c>
      <c r="E51" s="1" t="s">
        <v>50</v>
      </c>
      <c r="F51" s="1" t="s">
        <v>50</v>
      </c>
      <c r="G51" s="1">
        <v>15</v>
      </c>
      <c r="H51" s="1">
        <v>20</v>
      </c>
      <c r="I51" s="1">
        <v>30</v>
      </c>
      <c r="J51" s="1">
        <v>25</v>
      </c>
      <c r="M51" s="2" t="str">
        <f t="shared" ca="1" si="0"/>
        <v>C</v>
      </c>
      <c r="N51" s="1" t="s">
        <v>887</v>
      </c>
      <c r="O51" s="1" t="s">
        <v>421</v>
      </c>
      <c r="P51" s="1" t="s">
        <v>458</v>
      </c>
      <c r="Q51" s="1">
        <v>111</v>
      </c>
      <c r="R51" s="1">
        <v>0.7</v>
      </c>
    </row>
    <row r="52" spans="1:18" ht="45" x14ac:dyDescent="0.25">
      <c r="A52" s="1" t="s">
        <v>888</v>
      </c>
      <c r="B52" s="1" t="s">
        <v>12</v>
      </c>
      <c r="C52" s="1" t="s">
        <v>6</v>
      </c>
      <c r="D52" s="1" t="s">
        <v>13</v>
      </c>
      <c r="E52" s="1" t="s">
        <v>50</v>
      </c>
      <c r="F52" s="1" t="s">
        <v>50</v>
      </c>
      <c r="G52" s="1">
        <v>30</v>
      </c>
      <c r="H52" s="1">
        <v>20</v>
      </c>
      <c r="I52" s="1">
        <v>15</v>
      </c>
      <c r="J52" s="1">
        <v>25</v>
      </c>
      <c r="M52" s="2" t="str">
        <f t="shared" ca="1" si="0"/>
        <v>A</v>
      </c>
      <c r="N52" s="1" t="s">
        <v>887</v>
      </c>
      <c r="O52" s="1" t="s">
        <v>442</v>
      </c>
      <c r="P52" s="1" t="s">
        <v>458</v>
      </c>
      <c r="Q52" s="1">
        <v>119</v>
      </c>
      <c r="R52" s="1">
        <v>0.7</v>
      </c>
    </row>
    <row r="53" spans="1:18" ht="45" x14ac:dyDescent="0.25">
      <c r="A53" s="1" t="s">
        <v>889</v>
      </c>
      <c r="B53" s="1" t="s">
        <v>12</v>
      </c>
      <c r="C53" s="1" t="s">
        <v>6</v>
      </c>
      <c r="D53" s="1" t="s">
        <v>13</v>
      </c>
      <c r="E53" s="1" t="s">
        <v>50</v>
      </c>
      <c r="F53" s="1" t="s">
        <v>50</v>
      </c>
      <c r="G53" s="13">
        <v>45689</v>
      </c>
      <c r="H53" s="13">
        <v>45750</v>
      </c>
      <c r="I53" s="1">
        <f>-1/4</f>
        <v>-0.25</v>
      </c>
      <c r="J53" s="1">
        <f>-2/3</f>
        <v>-0.66666666666666663</v>
      </c>
      <c r="M53" s="2" t="str">
        <f t="shared" ca="1" si="0"/>
        <v>C</v>
      </c>
      <c r="N53" s="1" t="s">
        <v>890</v>
      </c>
      <c r="O53" s="1" t="s">
        <v>442</v>
      </c>
      <c r="P53" s="1" t="s">
        <v>458</v>
      </c>
      <c r="Q53" s="1">
        <v>131</v>
      </c>
      <c r="R53" s="1">
        <v>1</v>
      </c>
    </row>
    <row r="54" spans="1:18" ht="45" x14ac:dyDescent="0.25">
      <c r="A54" s="1" t="s">
        <v>891</v>
      </c>
      <c r="B54" s="1" t="s">
        <v>12</v>
      </c>
      <c r="C54" s="1" t="s">
        <v>6</v>
      </c>
      <c r="D54" s="1" t="s">
        <v>13</v>
      </c>
      <c r="E54" s="1" t="s">
        <v>50</v>
      </c>
      <c r="F54" s="1" t="s">
        <v>50</v>
      </c>
      <c r="G54" s="1">
        <v>20</v>
      </c>
      <c r="H54" s="1">
        <v>15</v>
      </c>
      <c r="I54" s="1">
        <v>30</v>
      </c>
      <c r="J54" s="1">
        <v>25</v>
      </c>
      <c r="M54" s="2" t="str">
        <f t="shared" ca="1" si="0"/>
        <v>B</v>
      </c>
      <c r="N54" s="1" t="s">
        <v>892</v>
      </c>
      <c r="O54" s="1" t="s">
        <v>413</v>
      </c>
      <c r="P54" s="1" t="s">
        <v>458</v>
      </c>
      <c r="Q54" s="1">
        <v>138</v>
      </c>
      <c r="R54" s="1">
        <v>1</v>
      </c>
    </row>
    <row r="55" spans="1:18" ht="45" x14ac:dyDescent="0.25">
      <c r="A55" s="1" t="s">
        <v>893</v>
      </c>
      <c r="B55" s="1" t="s">
        <v>12</v>
      </c>
      <c r="C55" s="1" t="s">
        <v>6</v>
      </c>
      <c r="D55" s="1" t="s">
        <v>13</v>
      </c>
      <c r="E55" s="1" t="s">
        <v>50</v>
      </c>
      <c r="F55" s="1" t="s">
        <v>50</v>
      </c>
      <c r="G55" s="1">
        <v>20</v>
      </c>
      <c r="H55" s="1">
        <v>30</v>
      </c>
      <c r="I55" s="1">
        <v>15</v>
      </c>
      <c r="J55" s="1">
        <v>25</v>
      </c>
      <c r="M55" s="2" t="str">
        <f t="shared" ca="1" si="0"/>
        <v>D</v>
      </c>
      <c r="N55" s="1" t="s">
        <v>892</v>
      </c>
      <c r="O55" s="1" t="s">
        <v>442</v>
      </c>
      <c r="P55" s="1" t="s">
        <v>458</v>
      </c>
      <c r="Q55" s="1">
        <v>109</v>
      </c>
      <c r="R55" s="1">
        <v>0.8</v>
      </c>
    </row>
    <row r="56" spans="1:18" ht="45" x14ac:dyDescent="0.25">
      <c r="A56" s="1" t="s">
        <v>894</v>
      </c>
      <c r="B56" s="1" t="s">
        <v>12</v>
      </c>
      <c r="C56" s="1" t="s">
        <v>6</v>
      </c>
      <c r="D56" s="1" t="s">
        <v>13</v>
      </c>
      <c r="E56" s="1" t="s">
        <v>50</v>
      </c>
      <c r="F56" s="1" t="s">
        <v>50</v>
      </c>
      <c r="G56" s="1">
        <v>15</v>
      </c>
      <c r="H56" s="1">
        <v>30</v>
      </c>
      <c r="I56" s="1">
        <v>20</v>
      </c>
      <c r="J56" s="1">
        <v>25</v>
      </c>
      <c r="M56" s="2" t="str">
        <f t="shared" ca="1" si="0"/>
        <v>C</v>
      </c>
      <c r="N56" s="1" t="s">
        <v>892</v>
      </c>
      <c r="O56" s="1" t="s">
        <v>421</v>
      </c>
      <c r="P56" s="1" t="s">
        <v>458</v>
      </c>
      <c r="Q56" s="1">
        <v>93</v>
      </c>
      <c r="R56" s="1">
        <v>0.7</v>
      </c>
    </row>
    <row r="57" spans="1:18" ht="45" x14ac:dyDescent="0.25">
      <c r="A57" s="1" t="s">
        <v>895</v>
      </c>
      <c r="B57" s="1" t="s">
        <v>12</v>
      </c>
      <c r="C57" s="1" t="s">
        <v>6</v>
      </c>
      <c r="D57" s="1" t="s">
        <v>13</v>
      </c>
      <c r="E57" s="1" t="s">
        <v>50</v>
      </c>
      <c r="F57" s="1" t="s">
        <v>50</v>
      </c>
      <c r="G57" s="1">
        <v>20</v>
      </c>
      <c r="H57" s="1">
        <v>30</v>
      </c>
      <c r="I57" s="1">
        <v>25</v>
      </c>
      <c r="J57" s="1">
        <v>15</v>
      </c>
      <c r="M57" s="2" t="str">
        <f t="shared" ca="1" si="0"/>
        <v>A</v>
      </c>
      <c r="N57" s="1" t="s">
        <v>887</v>
      </c>
      <c r="O57" s="1" t="s">
        <v>413</v>
      </c>
      <c r="P57" s="1" t="s">
        <v>458</v>
      </c>
      <c r="Q57" s="1">
        <v>143</v>
      </c>
      <c r="R57" s="1">
        <v>0.6</v>
      </c>
    </row>
    <row r="58" spans="1:18" ht="45" x14ac:dyDescent="0.25">
      <c r="A58" s="1" t="s">
        <v>896</v>
      </c>
      <c r="B58" s="1" t="s">
        <v>12</v>
      </c>
      <c r="C58" s="1" t="s">
        <v>6</v>
      </c>
      <c r="D58" s="1" t="s">
        <v>14</v>
      </c>
      <c r="E58" s="1" t="s">
        <v>42</v>
      </c>
      <c r="F58" s="1" t="s">
        <v>42</v>
      </c>
      <c r="G58" s="1" t="s">
        <v>459</v>
      </c>
      <c r="H58" s="1" t="s">
        <v>461</v>
      </c>
      <c r="I58" s="1" t="s">
        <v>460</v>
      </c>
      <c r="J58" s="1" t="s">
        <v>462</v>
      </c>
      <c r="M58" s="2" t="str">
        <f t="shared" ca="1" si="0"/>
        <v>A</v>
      </c>
      <c r="N58" s="1" t="s">
        <v>897</v>
      </c>
      <c r="O58" s="1" t="s">
        <v>442</v>
      </c>
      <c r="P58" s="1" t="s">
        <v>463</v>
      </c>
      <c r="Q58" s="1">
        <v>63</v>
      </c>
      <c r="R58" s="1">
        <v>0.8</v>
      </c>
    </row>
    <row r="59" spans="1:18" ht="45" x14ac:dyDescent="0.25">
      <c r="A59" s="1" t="s">
        <v>898</v>
      </c>
      <c r="B59" s="1" t="s">
        <v>12</v>
      </c>
      <c r="C59" s="1" t="s">
        <v>6</v>
      </c>
      <c r="D59" s="1" t="s">
        <v>14</v>
      </c>
      <c r="E59" s="1" t="s">
        <v>42</v>
      </c>
      <c r="F59" s="1" t="s">
        <v>42</v>
      </c>
      <c r="G59" s="1" t="s">
        <v>459</v>
      </c>
      <c r="H59" s="1" t="s">
        <v>460</v>
      </c>
      <c r="I59" s="1" t="s">
        <v>462</v>
      </c>
      <c r="J59" s="1" t="s">
        <v>461</v>
      </c>
      <c r="M59" s="2" t="str">
        <f t="shared" ca="1" si="0"/>
        <v>D</v>
      </c>
      <c r="N59" s="1" t="s">
        <v>899</v>
      </c>
      <c r="O59" s="1" t="s">
        <v>413</v>
      </c>
      <c r="P59" s="1" t="s">
        <v>463</v>
      </c>
      <c r="Q59" s="1">
        <v>120</v>
      </c>
      <c r="R59" s="1">
        <v>0.9</v>
      </c>
    </row>
    <row r="60" spans="1:18" ht="45" x14ac:dyDescent="0.25">
      <c r="A60" s="1" t="s">
        <v>900</v>
      </c>
      <c r="B60" s="1" t="s">
        <v>12</v>
      </c>
      <c r="C60" s="1" t="s">
        <v>6</v>
      </c>
      <c r="D60" s="1" t="s">
        <v>14</v>
      </c>
      <c r="E60" s="1" t="s">
        <v>42</v>
      </c>
      <c r="F60" s="1" t="s">
        <v>42</v>
      </c>
      <c r="G60" s="1" t="s">
        <v>459</v>
      </c>
      <c r="H60" s="1" t="s">
        <v>461</v>
      </c>
      <c r="I60" s="1" t="s">
        <v>460</v>
      </c>
      <c r="J60" s="1" t="s">
        <v>462</v>
      </c>
      <c r="M60" s="2" t="str">
        <f t="shared" ca="1" si="0"/>
        <v>C</v>
      </c>
      <c r="N60" s="1" t="s">
        <v>899</v>
      </c>
      <c r="O60" s="1" t="s">
        <v>413</v>
      </c>
      <c r="P60" s="1" t="s">
        <v>463</v>
      </c>
      <c r="Q60" s="1">
        <v>132</v>
      </c>
      <c r="R60" s="1">
        <v>0.9</v>
      </c>
    </row>
    <row r="61" spans="1:18" ht="45" x14ac:dyDescent="0.25">
      <c r="A61" s="1" t="s">
        <v>901</v>
      </c>
      <c r="B61" s="1" t="s">
        <v>12</v>
      </c>
      <c r="C61" s="1" t="s">
        <v>6</v>
      </c>
      <c r="D61" s="1" t="s">
        <v>14</v>
      </c>
      <c r="E61" s="1" t="s">
        <v>42</v>
      </c>
      <c r="F61" s="1" t="s">
        <v>42</v>
      </c>
      <c r="G61" s="1" t="s">
        <v>460</v>
      </c>
      <c r="H61" s="1" t="s">
        <v>459</v>
      </c>
      <c r="I61" s="1" t="s">
        <v>461</v>
      </c>
      <c r="J61" s="1" t="s">
        <v>462</v>
      </c>
      <c r="M61" s="2" t="str">
        <f t="shared" ca="1" si="0"/>
        <v>C</v>
      </c>
      <c r="N61" s="1" t="s">
        <v>899</v>
      </c>
      <c r="O61" s="1" t="s">
        <v>442</v>
      </c>
      <c r="P61" s="1" t="s">
        <v>463</v>
      </c>
      <c r="Q61" s="1">
        <v>166</v>
      </c>
      <c r="R61" s="1">
        <v>0.6</v>
      </c>
    </row>
    <row r="62" spans="1:18" ht="45" x14ac:dyDescent="0.25">
      <c r="A62" s="1" t="s">
        <v>902</v>
      </c>
      <c r="B62" s="1" t="s">
        <v>12</v>
      </c>
      <c r="C62" s="1" t="s">
        <v>6</v>
      </c>
      <c r="D62" s="1" t="s">
        <v>14</v>
      </c>
      <c r="E62" s="1" t="s">
        <v>42</v>
      </c>
      <c r="F62" s="1" t="s">
        <v>42</v>
      </c>
      <c r="G62" s="1" t="s">
        <v>462</v>
      </c>
      <c r="H62" s="1" t="s">
        <v>459</v>
      </c>
      <c r="I62" s="1" t="s">
        <v>461</v>
      </c>
      <c r="J62" s="1" t="s">
        <v>460</v>
      </c>
      <c r="M62" s="2" t="str">
        <f t="shared" ca="1" si="0"/>
        <v>A</v>
      </c>
      <c r="N62" s="1" t="s">
        <v>903</v>
      </c>
      <c r="O62" s="1" t="s">
        <v>421</v>
      </c>
      <c r="P62" s="1" t="s">
        <v>463</v>
      </c>
      <c r="Q62" s="1">
        <v>166</v>
      </c>
      <c r="R62" s="1">
        <v>0.7</v>
      </c>
    </row>
    <row r="63" spans="1:18" ht="30" x14ac:dyDescent="0.25">
      <c r="A63" s="1" t="s">
        <v>904</v>
      </c>
      <c r="B63" s="1" t="s">
        <v>12</v>
      </c>
      <c r="C63" s="1" t="s">
        <v>6</v>
      </c>
      <c r="D63" s="1" t="s">
        <v>14</v>
      </c>
      <c r="E63" s="1" t="s">
        <v>42</v>
      </c>
      <c r="F63" s="1" t="s">
        <v>42</v>
      </c>
      <c r="G63" s="1" t="s">
        <v>464</v>
      </c>
      <c r="H63" s="1" t="s">
        <v>465</v>
      </c>
      <c r="I63" s="1" t="s">
        <v>467</v>
      </c>
      <c r="J63" s="1" t="s">
        <v>466</v>
      </c>
      <c r="M63" s="2" t="str">
        <f t="shared" ca="1" si="0"/>
        <v>D</v>
      </c>
      <c r="N63" s="1" t="s">
        <v>905</v>
      </c>
      <c r="O63" s="1" t="s">
        <v>413</v>
      </c>
      <c r="P63" s="1" t="s">
        <v>463</v>
      </c>
      <c r="Q63" s="1">
        <v>95</v>
      </c>
      <c r="R63" s="1">
        <v>0.7</v>
      </c>
    </row>
    <row r="64" spans="1:18" ht="30" x14ac:dyDescent="0.25">
      <c r="A64" s="1" t="s">
        <v>906</v>
      </c>
      <c r="B64" s="1" t="s">
        <v>12</v>
      </c>
      <c r="C64" s="1" t="s">
        <v>6</v>
      </c>
      <c r="D64" s="1" t="s">
        <v>14</v>
      </c>
      <c r="E64" s="1" t="s">
        <v>42</v>
      </c>
      <c r="F64" s="1" t="s">
        <v>42</v>
      </c>
      <c r="G64" s="1" t="s">
        <v>460</v>
      </c>
      <c r="H64" s="1" t="s">
        <v>461</v>
      </c>
      <c r="I64" s="1" t="s">
        <v>459</v>
      </c>
      <c r="J64" s="1" t="s">
        <v>462</v>
      </c>
      <c r="M64" s="2" t="str">
        <f t="shared" ca="1" si="0"/>
        <v>A</v>
      </c>
      <c r="N64" s="1" t="s">
        <v>907</v>
      </c>
      <c r="O64" s="1" t="s">
        <v>413</v>
      </c>
      <c r="P64" s="1" t="s">
        <v>463</v>
      </c>
      <c r="Q64" s="1">
        <v>119</v>
      </c>
      <c r="R64" s="1">
        <v>0.8</v>
      </c>
    </row>
    <row r="65" spans="1:18" ht="30" x14ac:dyDescent="0.25">
      <c r="A65" s="1" t="s">
        <v>908</v>
      </c>
      <c r="B65" s="1" t="s">
        <v>12</v>
      </c>
      <c r="C65" s="1" t="s">
        <v>6</v>
      </c>
      <c r="D65" s="1" t="s">
        <v>14</v>
      </c>
      <c r="E65" s="1" t="s">
        <v>42</v>
      </c>
      <c r="F65" s="1" t="s">
        <v>42</v>
      </c>
      <c r="G65" s="1" t="s">
        <v>467</v>
      </c>
      <c r="H65" s="1" t="s">
        <v>465</v>
      </c>
      <c r="I65" s="1" t="s">
        <v>466</v>
      </c>
      <c r="J65" s="1" t="s">
        <v>464</v>
      </c>
      <c r="M65" s="2" t="str">
        <f t="shared" ca="1" si="0"/>
        <v>A</v>
      </c>
      <c r="N65" s="1" t="s">
        <v>905</v>
      </c>
      <c r="O65" s="1" t="s">
        <v>442</v>
      </c>
      <c r="P65" s="1" t="s">
        <v>463</v>
      </c>
      <c r="Q65" s="1">
        <v>180</v>
      </c>
      <c r="R65" s="1">
        <v>0.9</v>
      </c>
    </row>
    <row r="66" spans="1:18" ht="30" x14ac:dyDescent="0.25">
      <c r="A66" s="1" t="s">
        <v>909</v>
      </c>
      <c r="B66" s="1" t="s">
        <v>12</v>
      </c>
      <c r="C66" s="1" t="s">
        <v>6</v>
      </c>
      <c r="D66" s="1" t="s">
        <v>14</v>
      </c>
      <c r="E66" s="1" t="s">
        <v>42</v>
      </c>
      <c r="F66" s="1" t="s">
        <v>42</v>
      </c>
      <c r="G66" s="1" t="s">
        <v>468</v>
      </c>
      <c r="H66" s="1" t="s">
        <v>471</v>
      </c>
      <c r="I66" s="1" t="s">
        <v>470</v>
      </c>
      <c r="J66" s="1" t="s">
        <v>469</v>
      </c>
      <c r="M66" s="2" t="str">
        <f t="shared" ca="1" si="0"/>
        <v>B</v>
      </c>
      <c r="N66" s="1" t="s">
        <v>910</v>
      </c>
      <c r="O66" s="1" t="s">
        <v>421</v>
      </c>
      <c r="P66" s="1" t="s">
        <v>463</v>
      </c>
      <c r="Q66" s="1">
        <v>123</v>
      </c>
      <c r="R66" s="1">
        <v>0.7</v>
      </c>
    </row>
    <row r="67" spans="1:18" ht="30" x14ac:dyDescent="0.25">
      <c r="A67" s="1" t="s">
        <v>911</v>
      </c>
      <c r="B67" s="1" t="s">
        <v>12</v>
      </c>
      <c r="C67" s="1" t="s">
        <v>6</v>
      </c>
      <c r="D67" s="1" t="s">
        <v>14</v>
      </c>
      <c r="E67" s="1" t="s">
        <v>42</v>
      </c>
      <c r="F67" s="1" t="s">
        <v>42</v>
      </c>
      <c r="G67" s="1" t="s">
        <v>460</v>
      </c>
      <c r="H67" s="1" t="s">
        <v>461</v>
      </c>
      <c r="I67" s="1" t="s">
        <v>459</v>
      </c>
      <c r="J67" s="1" t="s">
        <v>462</v>
      </c>
      <c r="M67" s="2" t="str">
        <f t="shared" ref="M67:M130" ca="1" si="1">CHAR(RANDBETWEEN(65,68))</f>
        <v>D</v>
      </c>
      <c r="N67" s="1" t="s">
        <v>907</v>
      </c>
      <c r="O67" s="1" t="s">
        <v>421</v>
      </c>
      <c r="P67" s="1" t="s">
        <v>463</v>
      </c>
      <c r="Q67" s="1">
        <v>141</v>
      </c>
      <c r="R67" s="1">
        <v>0.6</v>
      </c>
    </row>
    <row r="68" spans="1:18" ht="30" x14ac:dyDescent="0.25">
      <c r="A68" s="1" t="s">
        <v>912</v>
      </c>
      <c r="B68" s="1" t="s">
        <v>12</v>
      </c>
      <c r="C68" s="1" t="s">
        <v>6</v>
      </c>
      <c r="D68" s="1" t="s">
        <v>14</v>
      </c>
      <c r="E68" s="1" t="s">
        <v>26</v>
      </c>
      <c r="F68" s="1" t="s">
        <v>26</v>
      </c>
      <c r="G68" s="1" t="s">
        <v>464</v>
      </c>
      <c r="H68" s="1" t="s">
        <v>467</v>
      </c>
      <c r="I68" s="1" t="s">
        <v>466</v>
      </c>
      <c r="J68" s="1" t="s">
        <v>465</v>
      </c>
      <c r="M68" s="2" t="str">
        <f t="shared" ca="1" si="1"/>
        <v>B</v>
      </c>
      <c r="N68" s="1" t="s">
        <v>913</v>
      </c>
      <c r="O68" s="1" t="s">
        <v>442</v>
      </c>
      <c r="P68" s="1" t="s">
        <v>472</v>
      </c>
      <c r="Q68" s="1">
        <v>92</v>
      </c>
      <c r="R68" s="1">
        <v>0.9</v>
      </c>
    </row>
    <row r="69" spans="1:18" ht="45" x14ac:dyDescent="0.25">
      <c r="A69" s="1" t="s">
        <v>914</v>
      </c>
      <c r="B69" s="1" t="s">
        <v>12</v>
      </c>
      <c r="C69" s="1" t="s">
        <v>6</v>
      </c>
      <c r="D69" s="1" t="s">
        <v>14</v>
      </c>
      <c r="E69" s="1" t="s">
        <v>26</v>
      </c>
      <c r="F69" s="1" t="s">
        <v>26</v>
      </c>
      <c r="G69" s="1" t="s">
        <v>464</v>
      </c>
      <c r="H69" s="1" t="s">
        <v>467</v>
      </c>
      <c r="I69" s="1" t="s">
        <v>465</v>
      </c>
      <c r="J69" s="1" t="s">
        <v>466</v>
      </c>
      <c r="M69" s="2" t="str">
        <f t="shared" ca="1" si="1"/>
        <v>D</v>
      </c>
      <c r="N69" s="1" t="s">
        <v>915</v>
      </c>
      <c r="O69" s="1" t="s">
        <v>421</v>
      </c>
      <c r="P69" s="1" t="s">
        <v>472</v>
      </c>
      <c r="Q69" s="1">
        <v>152</v>
      </c>
      <c r="R69" s="1">
        <v>0.7</v>
      </c>
    </row>
    <row r="70" spans="1:18" ht="30" x14ac:dyDescent="0.25">
      <c r="A70" s="1" t="s">
        <v>916</v>
      </c>
      <c r="B70" s="1" t="s">
        <v>12</v>
      </c>
      <c r="C70" s="1" t="s">
        <v>6</v>
      </c>
      <c r="D70" s="1" t="s">
        <v>14</v>
      </c>
      <c r="E70" s="1" t="s">
        <v>26</v>
      </c>
      <c r="F70" s="1" t="s">
        <v>26</v>
      </c>
      <c r="G70" s="1" t="s">
        <v>467</v>
      </c>
      <c r="H70" s="1" t="s">
        <v>464</v>
      </c>
      <c r="I70" s="1" t="s">
        <v>465</v>
      </c>
      <c r="J70" s="1" t="s">
        <v>466</v>
      </c>
      <c r="M70" s="2" t="str">
        <f t="shared" ca="1" si="1"/>
        <v>B</v>
      </c>
      <c r="N70" s="1" t="s">
        <v>917</v>
      </c>
      <c r="O70" s="1" t="s">
        <v>413</v>
      </c>
      <c r="P70" s="1" t="s">
        <v>472</v>
      </c>
      <c r="Q70" s="1">
        <v>170</v>
      </c>
      <c r="R70" s="1">
        <v>0.6</v>
      </c>
    </row>
    <row r="71" spans="1:18" ht="30" x14ac:dyDescent="0.25">
      <c r="A71" s="1" t="s">
        <v>918</v>
      </c>
      <c r="B71" s="1" t="s">
        <v>12</v>
      </c>
      <c r="C71" s="1" t="s">
        <v>6</v>
      </c>
      <c r="D71" s="1" t="s">
        <v>14</v>
      </c>
      <c r="E71" s="1" t="s">
        <v>26</v>
      </c>
      <c r="F71" s="1" t="s">
        <v>26</v>
      </c>
      <c r="G71" s="1" t="s">
        <v>464</v>
      </c>
      <c r="H71" s="1" t="s">
        <v>467</v>
      </c>
      <c r="I71" s="1" t="s">
        <v>466</v>
      </c>
      <c r="J71" s="1" t="s">
        <v>465</v>
      </c>
      <c r="M71" s="2" t="str">
        <f t="shared" ca="1" si="1"/>
        <v>B</v>
      </c>
      <c r="N71" s="1" t="s">
        <v>919</v>
      </c>
      <c r="O71" s="1" t="s">
        <v>442</v>
      </c>
      <c r="P71" s="1" t="s">
        <v>472</v>
      </c>
      <c r="Q71" s="1">
        <v>92</v>
      </c>
      <c r="R71" s="1">
        <v>0.8</v>
      </c>
    </row>
    <row r="72" spans="1:18" ht="30" x14ac:dyDescent="0.25">
      <c r="A72" s="1" t="s">
        <v>473</v>
      </c>
      <c r="B72" s="1" t="s">
        <v>12</v>
      </c>
      <c r="C72" s="1" t="s">
        <v>6</v>
      </c>
      <c r="D72" s="1" t="s">
        <v>14</v>
      </c>
      <c r="E72" s="1" t="s">
        <v>26</v>
      </c>
      <c r="F72" s="1" t="s">
        <v>26</v>
      </c>
      <c r="G72" s="1" t="s">
        <v>467</v>
      </c>
      <c r="H72" s="1" t="s">
        <v>464</v>
      </c>
      <c r="I72" s="1" t="s">
        <v>465</v>
      </c>
      <c r="J72" s="1" t="s">
        <v>466</v>
      </c>
      <c r="M72" s="2" t="str">
        <f t="shared" ca="1" si="1"/>
        <v>D</v>
      </c>
      <c r="N72" s="1" t="s">
        <v>920</v>
      </c>
      <c r="O72" s="1" t="s">
        <v>442</v>
      </c>
      <c r="P72" s="1" t="s">
        <v>472</v>
      </c>
      <c r="Q72" s="1">
        <v>90</v>
      </c>
      <c r="R72" s="1">
        <v>0.8</v>
      </c>
    </row>
    <row r="73" spans="1:18" ht="30" x14ac:dyDescent="0.25">
      <c r="A73" s="1" t="s">
        <v>921</v>
      </c>
      <c r="B73" s="1" t="s">
        <v>12</v>
      </c>
      <c r="C73" s="1" t="s">
        <v>6</v>
      </c>
      <c r="D73" s="1" t="s">
        <v>14</v>
      </c>
      <c r="E73" s="1" t="s">
        <v>26</v>
      </c>
      <c r="F73" s="1" t="s">
        <v>26</v>
      </c>
      <c r="G73" s="1" t="s">
        <v>461</v>
      </c>
      <c r="H73" s="1" t="s">
        <v>459</v>
      </c>
      <c r="I73" s="1" t="s">
        <v>460</v>
      </c>
      <c r="J73" s="1" t="s">
        <v>462</v>
      </c>
      <c r="M73" s="2" t="str">
        <f t="shared" ca="1" si="1"/>
        <v>A</v>
      </c>
      <c r="N73" s="1" t="s">
        <v>922</v>
      </c>
      <c r="O73" s="1" t="s">
        <v>442</v>
      </c>
      <c r="P73" s="1" t="s">
        <v>472</v>
      </c>
      <c r="Q73" s="1">
        <v>138</v>
      </c>
      <c r="R73" s="1">
        <v>0.8</v>
      </c>
    </row>
    <row r="74" spans="1:18" ht="30" x14ac:dyDescent="0.25">
      <c r="A74" s="1" t="s">
        <v>923</v>
      </c>
      <c r="B74" s="1" t="s">
        <v>12</v>
      </c>
      <c r="C74" s="1" t="s">
        <v>6</v>
      </c>
      <c r="D74" s="1" t="s">
        <v>14</v>
      </c>
      <c r="E74" s="1" t="s">
        <v>26</v>
      </c>
      <c r="F74" s="1" t="s">
        <v>26</v>
      </c>
      <c r="G74" s="1" t="s">
        <v>466</v>
      </c>
      <c r="H74" s="1" t="s">
        <v>465</v>
      </c>
      <c r="I74" s="1" t="s">
        <v>464</v>
      </c>
      <c r="J74" s="1" t="s">
        <v>467</v>
      </c>
      <c r="M74" s="2" t="str">
        <f t="shared" ca="1" si="1"/>
        <v>D</v>
      </c>
      <c r="N74" s="1" t="s">
        <v>924</v>
      </c>
      <c r="O74" s="1" t="s">
        <v>442</v>
      </c>
      <c r="P74" s="1" t="s">
        <v>472</v>
      </c>
      <c r="Q74" s="1">
        <v>141</v>
      </c>
      <c r="R74" s="1">
        <v>0.9</v>
      </c>
    </row>
    <row r="75" spans="1:18" ht="30" x14ac:dyDescent="0.25">
      <c r="A75" s="1" t="s">
        <v>474</v>
      </c>
      <c r="B75" s="1" t="s">
        <v>12</v>
      </c>
      <c r="C75" s="1" t="s">
        <v>6</v>
      </c>
      <c r="D75" s="1" t="s">
        <v>14</v>
      </c>
      <c r="E75" s="1" t="s">
        <v>26</v>
      </c>
      <c r="F75" s="1" t="s">
        <v>26</v>
      </c>
      <c r="G75" s="1" t="s">
        <v>466</v>
      </c>
      <c r="H75" s="1" t="s">
        <v>465</v>
      </c>
      <c r="I75" s="1" t="s">
        <v>467</v>
      </c>
      <c r="J75" s="1" t="s">
        <v>464</v>
      </c>
      <c r="M75" s="2" t="str">
        <f t="shared" ca="1" si="1"/>
        <v>D</v>
      </c>
      <c r="N75" s="1" t="s">
        <v>920</v>
      </c>
      <c r="O75" s="1" t="s">
        <v>421</v>
      </c>
      <c r="P75" s="1" t="s">
        <v>472</v>
      </c>
      <c r="Q75" s="1">
        <v>144</v>
      </c>
      <c r="R75" s="1">
        <v>0.8</v>
      </c>
    </row>
    <row r="76" spans="1:18" ht="30" x14ac:dyDescent="0.25">
      <c r="A76" s="1" t="s">
        <v>925</v>
      </c>
      <c r="B76" s="1" t="s">
        <v>12</v>
      </c>
      <c r="C76" s="1" t="s">
        <v>6</v>
      </c>
      <c r="D76" s="1" t="s">
        <v>14</v>
      </c>
      <c r="E76" s="1" t="s">
        <v>26</v>
      </c>
      <c r="F76" s="1" t="s">
        <v>26</v>
      </c>
      <c r="G76" s="1" t="s">
        <v>465</v>
      </c>
      <c r="H76" s="1" t="s">
        <v>464</v>
      </c>
      <c r="I76" s="1" t="s">
        <v>466</v>
      </c>
      <c r="J76" s="1" t="s">
        <v>467</v>
      </c>
      <c r="M76" s="2" t="str">
        <f t="shared" ca="1" si="1"/>
        <v>B</v>
      </c>
      <c r="N76" s="1" t="s">
        <v>919</v>
      </c>
      <c r="O76" s="1" t="s">
        <v>442</v>
      </c>
      <c r="P76" s="1" t="s">
        <v>472</v>
      </c>
      <c r="Q76" s="1">
        <v>91</v>
      </c>
      <c r="R76" s="1">
        <v>0.9</v>
      </c>
    </row>
    <row r="77" spans="1:18" ht="30" x14ac:dyDescent="0.25">
      <c r="A77" s="1" t="s">
        <v>475</v>
      </c>
      <c r="B77" s="1" t="s">
        <v>12</v>
      </c>
      <c r="C77" s="1" t="s">
        <v>6</v>
      </c>
      <c r="D77" s="1" t="s">
        <v>14</v>
      </c>
      <c r="E77" s="1" t="s">
        <v>26</v>
      </c>
      <c r="F77" s="1" t="s">
        <v>26</v>
      </c>
      <c r="G77" s="1" t="s">
        <v>466</v>
      </c>
      <c r="H77" s="1" t="s">
        <v>465</v>
      </c>
      <c r="I77" s="1" t="s">
        <v>467</v>
      </c>
      <c r="J77" s="1" t="s">
        <v>464</v>
      </c>
      <c r="M77" s="2" t="str">
        <f t="shared" ca="1" si="1"/>
        <v>B</v>
      </c>
      <c r="N77" s="1" t="s">
        <v>920</v>
      </c>
      <c r="O77" s="1" t="s">
        <v>421</v>
      </c>
      <c r="P77" s="1" t="s">
        <v>472</v>
      </c>
      <c r="Q77" s="1">
        <v>73</v>
      </c>
      <c r="R77" s="1">
        <v>0.9</v>
      </c>
    </row>
    <row r="78" spans="1:18" ht="30" x14ac:dyDescent="0.25">
      <c r="A78" s="1" t="s">
        <v>926</v>
      </c>
      <c r="B78" s="1" t="s">
        <v>12</v>
      </c>
      <c r="C78" s="1" t="s">
        <v>6</v>
      </c>
      <c r="D78" s="1" t="s">
        <v>14</v>
      </c>
      <c r="E78" s="1" t="s">
        <v>27</v>
      </c>
      <c r="F78" s="1" t="s">
        <v>27</v>
      </c>
      <c r="G78" s="1" t="s">
        <v>467</v>
      </c>
      <c r="H78" s="1" t="s">
        <v>465</v>
      </c>
      <c r="I78" s="1" t="s">
        <v>466</v>
      </c>
      <c r="J78" s="1" t="s">
        <v>464</v>
      </c>
      <c r="M78" s="2" t="str">
        <f t="shared" ca="1" si="1"/>
        <v>D</v>
      </c>
      <c r="N78" s="1" t="s">
        <v>927</v>
      </c>
      <c r="O78" s="1" t="s">
        <v>413</v>
      </c>
      <c r="P78" s="1" t="s">
        <v>476</v>
      </c>
      <c r="Q78" s="1">
        <v>129</v>
      </c>
      <c r="R78" s="1">
        <v>0.8</v>
      </c>
    </row>
    <row r="79" spans="1:18" ht="30" x14ac:dyDescent="0.25">
      <c r="A79" s="1" t="s">
        <v>928</v>
      </c>
      <c r="B79" s="1" t="s">
        <v>12</v>
      </c>
      <c r="C79" s="1" t="s">
        <v>6</v>
      </c>
      <c r="D79" s="1" t="s">
        <v>14</v>
      </c>
      <c r="E79" s="1" t="s">
        <v>27</v>
      </c>
      <c r="F79" s="1" t="s">
        <v>27</v>
      </c>
      <c r="G79" s="1" t="s">
        <v>467</v>
      </c>
      <c r="H79" s="1" t="s">
        <v>466</v>
      </c>
      <c r="I79" s="1" t="s">
        <v>465</v>
      </c>
      <c r="J79" s="1" t="s">
        <v>464</v>
      </c>
      <c r="M79" s="2" t="str">
        <f t="shared" ca="1" si="1"/>
        <v>B</v>
      </c>
      <c r="N79" s="1" t="s">
        <v>929</v>
      </c>
      <c r="O79" s="1" t="s">
        <v>442</v>
      </c>
      <c r="P79" s="1" t="s">
        <v>476</v>
      </c>
      <c r="Q79" s="1">
        <v>147</v>
      </c>
      <c r="R79" s="1">
        <v>0.9</v>
      </c>
    </row>
    <row r="80" spans="1:18" ht="30" x14ac:dyDescent="0.25">
      <c r="A80" s="1" t="s">
        <v>930</v>
      </c>
      <c r="B80" s="1" t="s">
        <v>12</v>
      </c>
      <c r="C80" s="1" t="s">
        <v>6</v>
      </c>
      <c r="D80" s="1" t="s">
        <v>14</v>
      </c>
      <c r="E80" s="1" t="s">
        <v>27</v>
      </c>
      <c r="F80" s="1" t="s">
        <v>27</v>
      </c>
      <c r="G80" s="1" t="s">
        <v>466</v>
      </c>
      <c r="H80" s="1" t="s">
        <v>467</v>
      </c>
      <c r="I80" s="1" t="s">
        <v>464</v>
      </c>
      <c r="J80" s="1" t="s">
        <v>465</v>
      </c>
      <c r="M80" s="2" t="str">
        <f t="shared" ca="1" si="1"/>
        <v>B</v>
      </c>
      <c r="N80" s="1" t="s">
        <v>931</v>
      </c>
      <c r="O80" s="1" t="s">
        <v>421</v>
      </c>
      <c r="P80" s="1" t="s">
        <v>476</v>
      </c>
      <c r="Q80" s="1">
        <v>83</v>
      </c>
      <c r="R80" s="1">
        <v>0.9</v>
      </c>
    </row>
    <row r="81" spans="1:18" ht="30" x14ac:dyDescent="0.25">
      <c r="A81" s="1" t="s">
        <v>932</v>
      </c>
      <c r="B81" s="1" t="s">
        <v>12</v>
      </c>
      <c r="C81" s="1" t="s">
        <v>6</v>
      </c>
      <c r="D81" s="1" t="s">
        <v>14</v>
      </c>
      <c r="E81" s="1" t="s">
        <v>27</v>
      </c>
      <c r="F81" s="1" t="s">
        <v>27</v>
      </c>
      <c r="G81" s="1" t="s">
        <v>466</v>
      </c>
      <c r="H81" s="1" t="s">
        <v>467</v>
      </c>
      <c r="I81" s="1" t="s">
        <v>465</v>
      </c>
      <c r="J81" s="1" t="s">
        <v>464</v>
      </c>
      <c r="M81" s="2" t="str">
        <f t="shared" ca="1" si="1"/>
        <v>C</v>
      </c>
      <c r="N81" s="1" t="s">
        <v>933</v>
      </c>
      <c r="O81" s="1" t="s">
        <v>442</v>
      </c>
      <c r="P81" s="1" t="s">
        <v>476</v>
      </c>
      <c r="Q81" s="1">
        <v>76</v>
      </c>
      <c r="R81" s="1">
        <v>0.8</v>
      </c>
    </row>
    <row r="82" spans="1:18" ht="30" x14ac:dyDescent="0.25">
      <c r="A82" s="1" t="s">
        <v>934</v>
      </c>
      <c r="B82" s="1" t="s">
        <v>12</v>
      </c>
      <c r="C82" s="1" t="s">
        <v>6</v>
      </c>
      <c r="D82" s="1" t="s">
        <v>14</v>
      </c>
      <c r="E82" s="1" t="s">
        <v>27</v>
      </c>
      <c r="F82" s="1" t="s">
        <v>27</v>
      </c>
      <c r="G82" s="1" t="s">
        <v>464</v>
      </c>
      <c r="H82" s="1" t="s">
        <v>465</v>
      </c>
      <c r="I82" s="1" t="s">
        <v>466</v>
      </c>
      <c r="J82" s="1" t="s">
        <v>467</v>
      </c>
      <c r="M82" s="2" t="str">
        <f t="shared" ca="1" si="1"/>
        <v>A</v>
      </c>
      <c r="N82" s="1" t="s">
        <v>935</v>
      </c>
      <c r="O82" s="1" t="s">
        <v>413</v>
      </c>
      <c r="P82" s="1" t="s">
        <v>476</v>
      </c>
      <c r="Q82" s="1">
        <v>115</v>
      </c>
      <c r="R82" s="1">
        <v>1</v>
      </c>
    </row>
    <row r="83" spans="1:18" ht="30" x14ac:dyDescent="0.25">
      <c r="A83" s="1" t="s">
        <v>936</v>
      </c>
      <c r="B83" s="1" t="s">
        <v>12</v>
      </c>
      <c r="C83" s="1" t="s">
        <v>6</v>
      </c>
      <c r="D83" s="1" t="s">
        <v>14</v>
      </c>
      <c r="E83" s="1" t="s">
        <v>27</v>
      </c>
      <c r="F83" s="1" t="s">
        <v>27</v>
      </c>
      <c r="G83" s="1" t="s">
        <v>466</v>
      </c>
      <c r="H83" s="1" t="s">
        <v>464</v>
      </c>
      <c r="I83" s="1" t="s">
        <v>467</v>
      </c>
      <c r="J83" s="1" t="s">
        <v>465</v>
      </c>
      <c r="M83" s="2" t="str">
        <f t="shared" ca="1" si="1"/>
        <v>D</v>
      </c>
      <c r="N83" s="1" t="s">
        <v>931</v>
      </c>
      <c r="O83" s="1" t="s">
        <v>421</v>
      </c>
      <c r="P83" s="1" t="s">
        <v>476</v>
      </c>
      <c r="Q83" s="1">
        <v>133</v>
      </c>
      <c r="R83" s="1">
        <v>0.6</v>
      </c>
    </row>
    <row r="84" spans="1:18" ht="30" x14ac:dyDescent="0.25">
      <c r="A84" s="1" t="s">
        <v>937</v>
      </c>
      <c r="B84" s="1" t="s">
        <v>12</v>
      </c>
      <c r="C84" s="1" t="s">
        <v>6</v>
      </c>
      <c r="D84" s="1" t="s">
        <v>14</v>
      </c>
      <c r="E84" s="1" t="s">
        <v>27</v>
      </c>
      <c r="F84" s="1" t="s">
        <v>27</v>
      </c>
      <c r="G84" s="1" t="s">
        <v>467</v>
      </c>
      <c r="H84" s="1" t="s">
        <v>464</v>
      </c>
      <c r="I84" s="1" t="s">
        <v>466</v>
      </c>
      <c r="J84" s="1" t="s">
        <v>465</v>
      </c>
      <c r="M84" s="2" t="str">
        <f t="shared" ca="1" si="1"/>
        <v>B</v>
      </c>
      <c r="N84" s="1" t="s">
        <v>931</v>
      </c>
      <c r="O84" s="1" t="s">
        <v>413</v>
      </c>
      <c r="P84" s="1" t="s">
        <v>476</v>
      </c>
      <c r="Q84" s="1">
        <v>77</v>
      </c>
      <c r="R84" s="1">
        <v>0.8</v>
      </c>
    </row>
    <row r="85" spans="1:18" ht="30" x14ac:dyDescent="0.25">
      <c r="A85" s="1" t="s">
        <v>938</v>
      </c>
      <c r="B85" s="1" t="s">
        <v>12</v>
      </c>
      <c r="C85" s="1" t="s">
        <v>6</v>
      </c>
      <c r="D85" s="1" t="s">
        <v>14</v>
      </c>
      <c r="E85" s="1" t="s">
        <v>27</v>
      </c>
      <c r="F85" s="1" t="s">
        <v>27</v>
      </c>
      <c r="G85" s="1" t="s">
        <v>467</v>
      </c>
      <c r="H85" s="1" t="s">
        <v>466</v>
      </c>
      <c r="I85" s="1" t="s">
        <v>464</v>
      </c>
      <c r="J85" s="1" t="s">
        <v>465</v>
      </c>
      <c r="M85" s="2" t="str">
        <f t="shared" ca="1" si="1"/>
        <v>C</v>
      </c>
      <c r="N85" s="1" t="s">
        <v>931</v>
      </c>
      <c r="O85" s="1" t="s">
        <v>442</v>
      </c>
      <c r="P85" s="1" t="s">
        <v>476</v>
      </c>
      <c r="Q85" s="1">
        <v>163</v>
      </c>
      <c r="R85" s="1">
        <v>0.6</v>
      </c>
    </row>
    <row r="86" spans="1:18" ht="30" x14ac:dyDescent="0.25">
      <c r="A86" s="1" t="s">
        <v>477</v>
      </c>
      <c r="B86" s="1" t="s">
        <v>12</v>
      </c>
      <c r="C86" s="1" t="s">
        <v>6</v>
      </c>
      <c r="D86" s="1" t="s">
        <v>14</v>
      </c>
      <c r="E86" s="1" t="s">
        <v>27</v>
      </c>
      <c r="F86" s="1" t="s">
        <v>27</v>
      </c>
      <c r="G86" s="1" t="s">
        <v>464</v>
      </c>
      <c r="H86" s="1" t="s">
        <v>465</v>
      </c>
      <c r="I86" s="1" t="s">
        <v>466</v>
      </c>
      <c r="J86" s="1" t="s">
        <v>467</v>
      </c>
      <c r="M86" s="2" t="str">
        <f t="shared" ca="1" si="1"/>
        <v>D</v>
      </c>
      <c r="N86" s="1" t="s">
        <v>931</v>
      </c>
      <c r="O86" s="1" t="s">
        <v>413</v>
      </c>
      <c r="P86" s="1" t="s">
        <v>476</v>
      </c>
      <c r="Q86" s="1">
        <v>63</v>
      </c>
      <c r="R86" s="1">
        <v>0.9</v>
      </c>
    </row>
    <row r="87" spans="1:18" ht="30" x14ac:dyDescent="0.25">
      <c r="A87" s="1" t="s">
        <v>939</v>
      </c>
      <c r="B87" s="1" t="s">
        <v>12</v>
      </c>
      <c r="C87" s="1" t="s">
        <v>6</v>
      </c>
      <c r="D87" s="1" t="s">
        <v>14</v>
      </c>
      <c r="E87" s="1" t="s">
        <v>27</v>
      </c>
      <c r="F87" s="1" t="s">
        <v>27</v>
      </c>
      <c r="G87" s="1" t="s">
        <v>465</v>
      </c>
      <c r="H87" s="1" t="s">
        <v>464</v>
      </c>
      <c r="I87" s="1" t="s">
        <v>466</v>
      </c>
      <c r="J87" s="1" t="s">
        <v>467</v>
      </c>
      <c r="M87" s="2" t="str">
        <f t="shared" ca="1" si="1"/>
        <v>A</v>
      </c>
      <c r="N87" s="1" t="s">
        <v>931</v>
      </c>
      <c r="O87" s="1" t="s">
        <v>442</v>
      </c>
      <c r="P87" s="1" t="s">
        <v>476</v>
      </c>
      <c r="Q87" s="1">
        <v>131</v>
      </c>
      <c r="R87" s="1">
        <v>0.9</v>
      </c>
    </row>
    <row r="88" spans="1:18" ht="45" x14ac:dyDescent="0.25">
      <c r="A88" s="1" t="s">
        <v>940</v>
      </c>
      <c r="B88" s="1" t="s">
        <v>12</v>
      </c>
      <c r="C88" s="1" t="s">
        <v>6</v>
      </c>
      <c r="D88" s="1" t="s">
        <v>14</v>
      </c>
      <c r="E88" s="1" t="s">
        <v>28</v>
      </c>
      <c r="F88" s="1" t="s">
        <v>28</v>
      </c>
      <c r="G88" s="1" t="s">
        <v>467</v>
      </c>
      <c r="H88" s="1" t="s">
        <v>466</v>
      </c>
      <c r="I88" s="1" t="s">
        <v>464</v>
      </c>
      <c r="J88" s="1" t="s">
        <v>465</v>
      </c>
      <c r="M88" s="2" t="str">
        <f t="shared" ca="1" si="1"/>
        <v>B</v>
      </c>
      <c r="N88" s="1" t="s">
        <v>941</v>
      </c>
      <c r="O88" s="1" t="s">
        <v>413</v>
      </c>
      <c r="P88" s="1" t="s">
        <v>478</v>
      </c>
      <c r="Q88" s="1">
        <v>138</v>
      </c>
      <c r="R88" s="1">
        <v>0.7</v>
      </c>
    </row>
    <row r="89" spans="1:18" ht="45" x14ac:dyDescent="0.25">
      <c r="A89" s="1" t="s">
        <v>942</v>
      </c>
      <c r="B89" s="1" t="s">
        <v>12</v>
      </c>
      <c r="C89" s="1" t="s">
        <v>6</v>
      </c>
      <c r="D89" s="1" t="s">
        <v>14</v>
      </c>
      <c r="E89" s="1" t="s">
        <v>28</v>
      </c>
      <c r="F89" s="1" t="s">
        <v>28</v>
      </c>
      <c r="G89" s="1" t="s">
        <v>467</v>
      </c>
      <c r="H89" s="1" t="s">
        <v>466</v>
      </c>
      <c r="I89" s="1" t="s">
        <v>464</v>
      </c>
      <c r="J89" s="1" t="s">
        <v>465</v>
      </c>
      <c r="M89" s="2" t="str">
        <f t="shared" ca="1" si="1"/>
        <v>B</v>
      </c>
      <c r="N89" s="1" t="s">
        <v>943</v>
      </c>
      <c r="O89" s="1" t="s">
        <v>421</v>
      </c>
      <c r="P89" s="1" t="s">
        <v>478</v>
      </c>
      <c r="Q89" s="1">
        <v>113</v>
      </c>
      <c r="R89" s="1">
        <v>0.6</v>
      </c>
    </row>
    <row r="90" spans="1:18" ht="45" x14ac:dyDescent="0.25">
      <c r="A90" s="1" t="s">
        <v>944</v>
      </c>
      <c r="B90" s="1" t="s">
        <v>12</v>
      </c>
      <c r="C90" s="1" t="s">
        <v>6</v>
      </c>
      <c r="D90" s="1" t="s">
        <v>14</v>
      </c>
      <c r="E90" s="1" t="s">
        <v>28</v>
      </c>
      <c r="F90" s="1" t="s">
        <v>28</v>
      </c>
      <c r="G90" s="1" t="s">
        <v>465</v>
      </c>
      <c r="H90" s="1" t="s">
        <v>464</v>
      </c>
      <c r="I90" s="1" t="s">
        <v>466</v>
      </c>
      <c r="J90" s="1" t="s">
        <v>467</v>
      </c>
      <c r="M90" s="2" t="str">
        <f t="shared" ca="1" si="1"/>
        <v>A</v>
      </c>
      <c r="N90" s="1" t="s">
        <v>945</v>
      </c>
      <c r="O90" s="1" t="s">
        <v>413</v>
      </c>
      <c r="P90" s="1" t="s">
        <v>478</v>
      </c>
      <c r="Q90" s="1">
        <v>93</v>
      </c>
      <c r="R90" s="1">
        <v>0.9</v>
      </c>
    </row>
    <row r="91" spans="1:18" ht="45" x14ac:dyDescent="0.25">
      <c r="A91" s="1" t="s">
        <v>946</v>
      </c>
      <c r="B91" s="1" t="s">
        <v>12</v>
      </c>
      <c r="C91" s="1" t="s">
        <v>6</v>
      </c>
      <c r="D91" s="1" t="s">
        <v>14</v>
      </c>
      <c r="E91" s="1" t="s">
        <v>28</v>
      </c>
      <c r="F91" s="1" t="s">
        <v>28</v>
      </c>
      <c r="G91" s="1" t="s">
        <v>466</v>
      </c>
      <c r="H91" s="1" t="s">
        <v>465</v>
      </c>
      <c r="I91" s="1" t="s">
        <v>464</v>
      </c>
      <c r="J91" s="1" t="s">
        <v>467</v>
      </c>
      <c r="M91" s="2" t="str">
        <f t="shared" ca="1" si="1"/>
        <v>A</v>
      </c>
      <c r="N91" s="1" t="s">
        <v>947</v>
      </c>
      <c r="O91" s="1" t="s">
        <v>413</v>
      </c>
      <c r="P91" s="1" t="s">
        <v>478</v>
      </c>
      <c r="Q91" s="1">
        <v>112</v>
      </c>
      <c r="R91" s="1">
        <v>1</v>
      </c>
    </row>
    <row r="92" spans="1:18" ht="45" x14ac:dyDescent="0.25">
      <c r="A92" s="1" t="s">
        <v>948</v>
      </c>
      <c r="B92" s="1" t="s">
        <v>12</v>
      </c>
      <c r="C92" s="1" t="s">
        <v>6</v>
      </c>
      <c r="D92" s="1" t="s">
        <v>14</v>
      </c>
      <c r="E92" s="1" t="s">
        <v>28</v>
      </c>
      <c r="F92" s="1" t="s">
        <v>28</v>
      </c>
      <c r="G92" s="1" t="s">
        <v>467</v>
      </c>
      <c r="H92" s="1" t="s">
        <v>466</v>
      </c>
      <c r="I92" s="1" t="s">
        <v>465</v>
      </c>
      <c r="J92" s="1" t="s">
        <v>464</v>
      </c>
      <c r="M92" s="2" t="str">
        <f t="shared" ca="1" si="1"/>
        <v>D</v>
      </c>
      <c r="N92" s="1" t="s">
        <v>947</v>
      </c>
      <c r="O92" s="1" t="s">
        <v>413</v>
      </c>
      <c r="P92" s="1" t="s">
        <v>478</v>
      </c>
      <c r="Q92" s="1">
        <v>81</v>
      </c>
      <c r="R92" s="1">
        <v>0.7</v>
      </c>
    </row>
    <row r="93" spans="1:18" ht="45" x14ac:dyDescent="0.25">
      <c r="A93" s="1" t="s">
        <v>949</v>
      </c>
      <c r="B93" s="1" t="s">
        <v>12</v>
      </c>
      <c r="C93" s="1" t="s">
        <v>6</v>
      </c>
      <c r="D93" s="1" t="s">
        <v>14</v>
      </c>
      <c r="E93" s="1" t="s">
        <v>28</v>
      </c>
      <c r="F93" s="1" t="s">
        <v>28</v>
      </c>
      <c r="G93" s="1" t="s">
        <v>464</v>
      </c>
      <c r="H93" s="1" t="s">
        <v>466</v>
      </c>
      <c r="I93" s="1" t="s">
        <v>465</v>
      </c>
      <c r="J93" s="1" t="s">
        <v>467</v>
      </c>
      <c r="M93" s="2" t="str">
        <f t="shared" ca="1" si="1"/>
        <v>C</v>
      </c>
      <c r="N93" s="1" t="s">
        <v>945</v>
      </c>
      <c r="O93" s="1" t="s">
        <v>421</v>
      </c>
      <c r="P93" s="1" t="s">
        <v>478</v>
      </c>
      <c r="Q93" s="1">
        <v>131</v>
      </c>
      <c r="R93" s="1">
        <v>0.7</v>
      </c>
    </row>
    <row r="94" spans="1:18" ht="45" x14ac:dyDescent="0.25">
      <c r="A94" s="1" t="s">
        <v>479</v>
      </c>
      <c r="B94" s="1" t="s">
        <v>12</v>
      </c>
      <c r="C94" s="1" t="s">
        <v>6</v>
      </c>
      <c r="D94" s="1" t="s">
        <v>14</v>
      </c>
      <c r="E94" s="1" t="s">
        <v>28</v>
      </c>
      <c r="F94" s="1" t="s">
        <v>28</v>
      </c>
      <c r="G94" s="1" t="s">
        <v>467</v>
      </c>
      <c r="H94" s="1" t="s">
        <v>466</v>
      </c>
      <c r="I94" s="1" t="s">
        <v>464</v>
      </c>
      <c r="J94" s="1" t="s">
        <v>465</v>
      </c>
      <c r="M94" s="2" t="str">
        <f t="shared" ca="1" si="1"/>
        <v>A</v>
      </c>
      <c r="N94" s="1" t="s">
        <v>945</v>
      </c>
      <c r="O94" s="1" t="s">
        <v>421</v>
      </c>
      <c r="P94" s="1" t="s">
        <v>478</v>
      </c>
      <c r="Q94" s="1">
        <v>180</v>
      </c>
      <c r="R94" s="1">
        <v>0.9</v>
      </c>
    </row>
    <row r="95" spans="1:18" ht="45" x14ac:dyDescent="0.25">
      <c r="A95" s="1" t="s">
        <v>480</v>
      </c>
      <c r="B95" s="1" t="s">
        <v>12</v>
      </c>
      <c r="C95" s="1" t="s">
        <v>6</v>
      </c>
      <c r="D95" s="1" t="s">
        <v>14</v>
      </c>
      <c r="E95" s="1" t="s">
        <v>28</v>
      </c>
      <c r="F95" s="1" t="s">
        <v>28</v>
      </c>
      <c r="G95" s="1" t="s">
        <v>464</v>
      </c>
      <c r="H95" s="1" t="s">
        <v>466</v>
      </c>
      <c r="I95" s="1" t="s">
        <v>465</v>
      </c>
      <c r="J95" s="1" t="s">
        <v>467</v>
      </c>
      <c r="M95" s="2" t="str">
        <f t="shared" ca="1" si="1"/>
        <v>C</v>
      </c>
      <c r="N95" s="1" t="s">
        <v>945</v>
      </c>
      <c r="O95" s="1" t="s">
        <v>442</v>
      </c>
      <c r="P95" s="1" t="s">
        <v>478</v>
      </c>
      <c r="Q95" s="1">
        <v>128</v>
      </c>
      <c r="R95" s="1">
        <v>0.9</v>
      </c>
    </row>
    <row r="96" spans="1:18" ht="45" x14ac:dyDescent="0.25">
      <c r="A96" s="1" t="s">
        <v>481</v>
      </c>
      <c r="B96" s="1" t="s">
        <v>12</v>
      </c>
      <c r="C96" s="1" t="s">
        <v>6</v>
      </c>
      <c r="D96" s="1" t="s">
        <v>14</v>
      </c>
      <c r="E96" s="1" t="s">
        <v>28</v>
      </c>
      <c r="F96" s="1" t="s">
        <v>28</v>
      </c>
      <c r="G96" s="1" t="s">
        <v>465</v>
      </c>
      <c r="H96" s="1" t="s">
        <v>466</v>
      </c>
      <c r="I96" s="1" t="s">
        <v>467</v>
      </c>
      <c r="J96" s="1" t="s">
        <v>464</v>
      </c>
      <c r="M96" s="2" t="str">
        <f t="shared" ca="1" si="1"/>
        <v>A</v>
      </c>
      <c r="N96" s="1" t="s">
        <v>945</v>
      </c>
      <c r="O96" s="1" t="s">
        <v>442</v>
      </c>
      <c r="P96" s="1" t="s">
        <v>478</v>
      </c>
      <c r="Q96" s="1">
        <v>66</v>
      </c>
      <c r="R96" s="1">
        <v>0.7</v>
      </c>
    </row>
    <row r="97" spans="1:18" ht="45" x14ac:dyDescent="0.25">
      <c r="A97" s="1" t="s">
        <v>482</v>
      </c>
      <c r="B97" s="1" t="s">
        <v>12</v>
      </c>
      <c r="C97" s="1" t="s">
        <v>6</v>
      </c>
      <c r="D97" s="1" t="s">
        <v>14</v>
      </c>
      <c r="E97" s="1" t="s">
        <v>28</v>
      </c>
      <c r="F97" s="1" t="s">
        <v>28</v>
      </c>
      <c r="G97" s="1" t="s">
        <v>467</v>
      </c>
      <c r="H97" s="1" t="s">
        <v>464</v>
      </c>
      <c r="I97" s="1" t="s">
        <v>466</v>
      </c>
      <c r="J97" s="1" t="s">
        <v>465</v>
      </c>
      <c r="M97" s="2" t="str">
        <f t="shared" ca="1" si="1"/>
        <v>D</v>
      </c>
      <c r="N97" s="1" t="s">
        <v>945</v>
      </c>
      <c r="O97" s="1" t="s">
        <v>442</v>
      </c>
      <c r="P97" s="1" t="s">
        <v>478</v>
      </c>
      <c r="Q97" s="1">
        <v>129</v>
      </c>
      <c r="R97" s="1">
        <v>0.7</v>
      </c>
    </row>
    <row r="98" spans="1:18" ht="45" x14ac:dyDescent="0.25">
      <c r="A98" s="1" t="s">
        <v>950</v>
      </c>
      <c r="B98" s="1" t="s">
        <v>12</v>
      </c>
      <c r="C98" s="1" t="s">
        <v>6</v>
      </c>
      <c r="D98" s="1" t="s">
        <v>14</v>
      </c>
      <c r="E98" s="1" t="s">
        <v>23</v>
      </c>
      <c r="F98" s="1" t="s">
        <v>23</v>
      </c>
      <c r="G98" s="1" t="s">
        <v>459</v>
      </c>
      <c r="H98" s="1" t="s">
        <v>461</v>
      </c>
      <c r="I98" s="1" t="s">
        <v>462</v>
      </c>
      <c r="J98" s="1" t="s">
        <v>460</v>
      </c>
      <c r="M98" s="2" t="str">
        <f t="shared" ca="1" si="1"/>
        <v>B</v>
      </c>
      <c r="N98" s="1" t="s">
        <v>951</v>
      </c>
      <c r="O98" s="1" t="s">
        <v>413</v>
      </c>
      <c r="P98" s="1" t="s">
        <v>483</v>
      </c>
      <c r="Q98" s="1">
        <v>70</v>
      </c>
      <c r="R98" s="1">
        <v>1</v>
      </c>
    </row>
    <row r="99" spans="1:18" ht="45" x14ac:dyDescent="0.25">
      <c r="A99" s="1" t="s">
        <v>952</v>
      </c>
      <c r="B99" s="1" t="s">
        <v>12</v>
      </c>
      <c r="C99" s="1" t="s">
        <v>6</v>
      </c>
      <c r="D99" s="1" t="s">
        <v>14</v>
      </c>
      <c r="E99" s="1" t="s">
        <v>23</v>
      </c>
      <c r="F99" s="1" t="s">
        <v>23</v>
      </c>
      <c r="G99" s="1" t="s">
        <v>471</v>
      </c>
      <c r="H99" s="1" t="s">
        <v>468</v>
      </c>
      <c r="I99" s="1" t="s">
        <v>470</v>
      </c>
      <c r="J99" s="1" t="s">
        <v>469</v>
      </c>
      <c r="M99" s="2" t="str">
        <f t="shared" ca="1" si="1"/>
        <v>D</v>
      </c>
      <c r="N99" s="1" t="s">
        <v>953</v>
      </c>
      <c r="O99" s="1" t="s">
        <v>442</v>
      </c>
      <c r="P99" s="1" t="s">
        <v>483</v>
      </c>
      <c r="Q99" s="1">
        <v>86</v>
      </c>
      <c r="R99" s="1">
        <v>0.6</v>
      </c>
    </row>
    <row r="100" spans="1:18" ht="45" x14ac:dyDescent="0.25">
      <c r="A100" s="1" t="s">
        <v>954</v>
      </c>
      <c r="B100" s="1" t="s">
        <v>12</v>
      </c>
      <c r="C100" s="1" t="s">
        <v>6</v>
      </c>
      <c r="D100" s="1" t="s">
        <v>14</v>
      </c>
      <c r="E100" s="1" t="s">
        <v>23</v>
      </c>
      <c r="F100" s="1" t="s">
        <v>23</v>
      </c>
      <c r="G100" s="1" t="s">
        <v>462</v>
      </c>
      <c r="H100" s="1" t="s">
        <v>461</v>
      </c>
      <c r="I100" s="1" t="s">
        <v>460</v>
      </c>
      <c r="J100" s="1" t="s">
        <v>459</v>
      </c>
      <c r="M100" s="2" t="str">
        <f t="shared" ca="1" si="1"/>
        <v>C</v>
      </c>
      <c r="N100" s="1" t="s">
        <v>955</v>
      </c>
      <c r="O100" s="1" t="s">
        <v>413</v>
      </c>
      <c r="P100" s="1" t="s">
        <v>483</v>
      </c>
      <c r="Q100" s="1">
        <v>118</v>
      </c>
      <c r="R100" s="1">
        <v>0.7</v>
      </c>
    </row>
    <row r="101" spans="1:18" ht="45" x14ac:dyDescent="0.25">
      <c r="A101" s="1" t="s">
        <v>956</v>
      </c>
      <c r="B101" s="1" t="s">
        <v>12</v>
      </c>
      <c r="C101" s="1" t="s">
        <v>6</v>
      </c>
      <c r="D101" s="1" t="s">
        <v>14</v>
      </c>
      <c r="E101" s="1" t="s">
        <v>23</v>
      </c>
      <c r="F101" s="1" t="s">
        <v>23</v>
      </c>
      <c r="G101" s="1" t="s">
        <v>467</v>
      </c>
      <c r="H101" s="1" t="s">
        <v>466</v>
      </c>
      <c r="I101" s="1" t="s">
        <v>465</v>
      </c>
      <c r="J101" s="1" t="s">
        <v>464</v>
      </c>
      <c r="M101" s="2" t="str">
        <f t="shared" ca="1" si="1"/>
        <v>B</v>
      </c>
      <c r="N101" s="1" t="s">
        <v>957</v>
      </c>
      <c r="O101" s="1" t="s">
        <v>442</v>
      </c>
      <c r="P101" s="1" t="s">
        <v>483</v>
      </c>
      <c r="Q101" s="1">
        <v>158</v>
      </c>
      <c r="R101" s="1">
        <v>0.7</v>
      </c>
    </row>
    <row r="102" spans="1:18" ht="45" x14ac:dyDescent="0.25">
      <c r="A102" s="1" t="s">
        <v>958</v>
      </c>
      <c r="B102" s="1" t="s">
        <v>12</v>
      </c>
      <c r="C102" s="1" t="s">
        <v>6</v>
      </c>
      <c r="D102" s="1" t="s">
        <v>14</v>
      </c>
      <c r="E102" s="1" t="s">
        <v>23</v>
      </c>
      <c r="F102" s="1" t="s">
        <v>23</v>
      </c>
      <c r="G102" s="1" t="s">
        <v>467</v>
      </c>
      <c r="H102" s="1" t="s">
        <v>466</v>
      </c>
      <c r="I102" s="1" t="s">
        <v>464</v>
      </c>
      <c r="J102" s="1" t="s">
        <v>465</v>
      </c>
      <c r="M102" s="2" t="str">
        <f t="shared" ca="1" si="1"/>
        <v>C</v>
      </c>
      <c r="N102" s="1" t="s">
        <v>959</v>
      </c>
      <c r="O102" s="1" t="s">
        <v>413</v>
      </c>
      <c r="P102" s="1" t="s">
        <v>483</v>
      </c>
      <c r="Q102" s="1">
        <v>120</v>
      </c>
      <c r="R102" s="1">
        <v>1</v>
      </c>
    </row>
    <row r="103" spans="1:18" ht="45" x14ac:dyDescent="0.25">
      <c r="A103" s="1" t="s">
        <v>960</v>
      </c>
      <c r="B103" s="1" t="s">
        <v>12</v>
      </c>
      <c r="C103" s="1" t="s">
        <v>6</v>
      </c>
      <c r="D103" s="1" t="s">
        <v>14</v>
      </c>
      <c r="E103" s="1" t="s">
        <v>23</v>
      </c>
      <c r="F103" s="1" t="s">
        <v>23</v>
      </c>
      <c r="G103" s="1" t="s">
        <v>464</v>
      </c>
      <c r="H103" s="1" t="s">
        <v>466</v>
      </c>
      <c r="I103" s="1" t="s">
        <v>467</v>
      </c>
      <c r="J103" s="1" t="s">
        <v>465</v>
      </c>
      <c r="M103" s="2" t="str">
        <f t="shared" ca="1" si="1"/>
        <v>D</v>
      </c>
      <c r="N103" s="1" t="s">
        <v>959</v>
      </c>
      <c r="O103" s="1" t="s">
        <v>421</v>
      </c>
      <c r="P103" s="1" t="s">
        <v>483</v>
      </c>
      <c r="Q103" s="1">
        <v>155</v>
      </c>
      <c r="R103" s="1">
        <v>0.6</v>
      </c>
    </row>
    <row r="104" spans="1:18" ht="45" x14ac:dyDescent="0.25">
      <c r="A104" s="1" t="s">
        <v>484</v>
      </c>
      <c r="B104" s="1" t="s">
        <v>12</v>
      </c>
      <c r="C104" s="1" t="s">
        <v>6</v>
      </c>
      <c r="D104" s="1" t="s">
        <v>14</v>
      </c>
      <c r="E104" s="1" t="s">
        <v>23</v>
      </c>
      <c r="F104" s="1" t="s">
        <v>23</v>
      </c>
      <c r="G104" s="1" t="s">
        <v>465</v>
      </c>
      <c r="H104" s="1" t="s">
        <v>467</v>
      </c>
      <c r="I104" s="1" t="s">
        <v>464</v>
      </c>
      <c r="J104" s="1" t="s">
        <v>466</v>
      </c>
      <c r="M104" s="2" t="str">
        <f t="shared" ca="1" si="1"/>
        <v>A</v>
      </c>
      <c r="N104" s="1" t="s">
        <v>959</v>
      </c>
      <c r="O104" s="1" t="s">
        <v>421</v>
      </c>
      <c r="P104" s="1" t="s">
        <v>483</v>
      </c>
      <c r="Q104" s="1">
        <v>135</v>
      </c>
      <c r="R104" s="1">
        <v>0.6</v>
      </c>
    </row>
    <row r="105" spans="1:18" ht="45" x14ac:dyDescent="0.25">
      <c r="A105" s="1" t="s">
        <v>961</v>
      </c>
      <c r="B105" s="1" t="s">
        <v>12</v>
      </c>
      <c r="C105" s="1" t="s">
        <v>6</v>
      </c>
      <c r="D105" s="1" t="s">
        <v>14</v>
      </c>
      <c r="E105" s="1" t="s">
        <v>23</v>
      </c>
      <c r="F105" s="1" t="s">
        <v>23</v>
      </c>
      <c r="G105" s="1" t="s">
        <v>468</v>
      </c>
      <c r="H105" s="1" t="s">
        <v>469</v>
      </c>
      <c r="I105" s="1" t="s">
        <v>470</v>
      </c>
      <c r="J105" s="1" t="s">
        <v>471</v>
      </c>
      <c r="M105" s="2" t="str">
        <f t="shared" ca="1" si="1"/>
        <v>D</v>
      </c>
      <c r="N105" s="1" t="s">
        <v>962</v>
      </c>
      <c r="O105" s="1" t="s">
        <v>442</v>
      </c>
      <c r="P105" s="1" t="s">
        <v>483</v>
      </c>
      <c r="Q105" s="1">
        <v>140</v>
      </c>
      <c r="R105" s="1">
        <v>0.6</v>
      </c>
    </row>
    <row r="106" spans="1:18" ht="45" x14ac:dyDescent="0.25">
      <c r="A106" s="1" t="s">
        <v>963</v>
      </c>
      <c r="B106" s="1" t="s">
        <v>12</v>
      </c>
      <c r="C106" s="1" t="s">
        <v>6</v>
      </c>
      <c r="D106" s="1" t="s">
        <v>14</v>
      </c>
      <c r="E106" s="1" t="s">
        <v>23</v>
      </c>
      <c r="F106" s="1" t="s">
        <v>23</v>
      </c>
      <c r="G106" s="1" t="s">
        <v>466</v>
      </c>
      <c r="H106" s="1" t="s">
        <v>464</v>
      </c>
      <c r="I106" s="1" t="s">
        <v>467</v>
      </c>
      <c r="J106" s="1" t="s">
        <v>465</v>
      </c>
      <c r="M106" s="2" t="str">
        <f t="shared" ca="1" si="1"/>
        <v>B</v>
      </c>
      <c r="N106" s="1" t="s">
        <v>957</v>
      </c>
      <c r="O106" s="1" t="s">
        <v>442</v>
      </c>
      <c r="P106" s="1" t="s">
        <v>483</v>
      </c>
      <c r="Q106" s="1">
        <v>113</v>
      </c>
      <c r="R106" s="1">
        <v>0.9</v>
      </c>
    </row>
    <row r="107" spans="1:18" ht="45" x14ac:dyDescent="0.25">
      <c r="A107" s="1" t="s">
        <v>964</v>
      </c>
      <c r="B107" s="1" t="s">
        <v>12</v>
      </c>
      <c r="C107" s="1" t="s">
        <v>6</v>
      </c>
      <c r="D107" s="1" t="s">
        <v>14</v>
      </c>
      <c r="E107" s="1" t="s">
        <v>23</v>
      </c>
      <c r="F107" s="1" t="s">
        <v>23</v>
      </c>
      <c r="G107" s="1" t="s">
        <v>467</v>
      </c>
      <c r="H107" s="1" t="s">
        <v>464</v>
      </c>
      <c r="I107" s="1" t="s">
        <v>466</v>
      </c>
      <c r="J107" s="1" t="s">
        <v>465</v>
      </c>
      <c r="M107" s="2" t="str">
        <f t="shared" ca="1" si="1"/>
        <v>B</v>
      </c>
      <c r="N107" s="1" t="s">
        <v>959</v>
      </c>
      <c r="O107" s="1" t="s">
        <v>442</v>
      </c>
      <c r="P107" s="1" t="s">
        <v>483</v>
      </c>
      <c r="Q107" s="1">
        <v>98</v>
      </c>
      <c r="R107" s="1">
        <v>0.9</v>
      </c>
    </row>
    <row r="108" spans="1:18" ht="45" x14ac:dyDescent="0.25">
      <c r="A108" s="1" t="s">
        <v>965</v>
      </c>
      <c r="B108" s="1" t="s">
        <v>12</v>
      </c>
      <c r="C108" s="1" t="s">
        <v>6</v>
      </c>
      <c r="D108" s="1" t="s">
        <v>15</v>
      </c>
      <c r="E108" s="1" t="s">
        <v>29</v>
      </c>
      <c r="F108" s="1" t="s">
        <v>29</v>
      </c>
      <c r="G108" s="1" t="s">
        <v>488</v>
      </c>
      <c r="H108" s="1" t="s">
        <v>486</v>
      </c>
      <c r="I108" s="1" t="s">
        <v>487</v>
      </c>
      <c r="J108" s="1" t="s">
        <v>485</v>
      </c>
      <c r="M108" s="2" t="str">
        <f t="shared" ca="1" si="1"/>
        <v>D</v>
      </c>
      <c r="N108" s="1" t="s">
        <v>966</v>
      </c>
      <c r="O108" s="1" t="s">
        <v>442</v>
      </c>
      <c r="P108" s="1" t="s">
        <v>489</v>
      </c>
      <c r="Q108" s="1">
        <v>97</v>
      </c>
      <c r="R108" s="1">
        <v>0.9</v>
      </c>
    </row>
    <row r="109" spans="1:18" ht="45" x14ac:dyDescent="0.25">
      <c r="A109" s="1" t="s">
        <v>967</v>
      </c>
      <c r="B109" s="1" t="s">
        <v>12</v>
      </c>
      <c r="C109" s="1" t="s">
        <v>6</v>
      </c>
      <c r="D109" s="1" t="s">
        <v>15</v>
      </c>
      <c r="E109" s="1" t="s">
        <v>29</v>
      </c>
      <c r="F109" s="1" t="s">
        <v>29</v>
      </c>
      <c r="G109" s="1" t="s">
        <v>487</v>
      </c>
      <c r="H109" s="1" t="s">
        <v>488</v>
      </c>
      <c r="I109" s="1" t="s">
        <v>486</v>
      </c>
      <c r="J109" s="1" t="s">
        <v>485</v>
      </c>
      <c r="M109" s="2" t="str">
        <f t="shared" ca="1" si="1"/>
        <v>A</v>
      </c>
      <c r="N109" s="1" t="s">
        <v>968</v>
      </c>
      <c r="O109" s="1" t="s">
        <v>442</v>
      </c>
      <c r="P109" s="1" t="s">
        <v>489</v>
      </c>
      <c r="Q109" s="1">
        <v>61</v>
      </c>
      <c r="R109" s="1">
        <v>0.9</v>
      </c>
    </row>
    <row r="110" spans="1:18" ht="45" x14ac:dyDescent="0.25">
      <c r="A110" s="1" t="s">
        <v>969</v>
      </c>
      <c r="B110" s="1" t="s">
        <v>12</v>
      </c>
      <c r="C110" s="1" t="s">
        <v>6</v>
      </c>
      <c r="D110" s="1" t="s">
        <v>15</v>
      </c>
      <c r="E110" s="1" t="s">
        <v>29</v>
      </c>
      <c r="F110" s="1" t="s">
        <v>29</v>
      </c>
      <c r="G110" s="1" t="s">
        <v>485</v>
      </c>
      <c r="H110" s="1" t="s">
        <v>487</v>
      </c>
      <c r="I110" s="1" t="s">
        <v>486</v>
      </c>
      <c r="J110" s="1" t="s">
        <v>488</v>
      </c>
      <c r="M110" s="2" t="str">
        <f t="shared" ca="1" si="1"/>
        <v>C</v>
      </c>
      <c r="N110" s="1" t="s">
        <v>970</v>
      </c>
      <c r="O110" s="1" t="s">
        <v>421</v>
      </c>
      <c r="P110" s="1" t="s">
        <v>489</v>
      </c>
      <c r="Q110" s="1">
        <v>79</v>
      </c>
      <c r="R110" s="1">
        <v>1</v>
      </c>
    </row>
    <row r="111" spans="1:18" ht="45" x14ac:dyDescent="0.25">
      <c r="A111" s="1" t="s">
        <v>971</v>
      </c>
      <c r="B111" s="1" t="s">
        <v>12</v>
      </c>
      <c r="C111" s="1" t="s">
        <v>6</v>
      </c>
      <c r="D111" s="1" t="s">
        <v>15</v>
      </c>
      <c r="E111" s="1" t="s">
        <v>29</v>
      </c>
      <c r="F111" s="1" t="s">
        <v>29</v>
      </c>
      <c r="G111" s="1" t="s">
        <v>488</v>
      </c>
      <c r="H111" s="1" t="s">
        <v>486</v>
      </c>
      <c r="I111" s="1" t="s">
        <v>487</v>
      </c>
      <c r="J111" s="1" t="s">
        <v>485</v>
      </c>
      <c r="M111" s="2" t="str">
        <f t="shared" ca="1" si="1"/>
        <v>C</v>
      </c>
      <c r="N111" s="1" t="s">
        <v>972</v>
      </c>
      <c r="O111" s="1" t="s">
        <v>421</v>
      </c>
      <c r="P111" s="1" t="s">
        <v>489</v>
      </c>
      <c r="Q111" s="1">
        <v>105</v>
      </c>
      <c r="R111" s="1">
        <v>0.6</v>
      </c>
    </row>
    <row r="112" spans="1:18" ht="45" x14ac:dyDescent="0.25">
      <c r="A112" s="1" t="s">
        <v>973</v>
      </c>
      <c r="B112" s="1" t="s">
        <v>12</v>
      </c>
      <c r="C112" s="1" t="s">
        <v>6</v>
      </c>
      <c r="D112" s="1" t="s">
        <v>15</v>
      </c>
      <c r="E112" s="1" t="s">
        <v>29</v>
      </c>
      <c r="F112" s="1" t="s">
        <v>29</v>
      </c>
      <c r="G112" s="1" t="s">
        <v>486</v>
      </c>
      <c r="H112" s="1" t="s">
        <v>485</v>
      </c>
      <c r="I112" s="1" t="s">
        <v>487</v>
      </c>
      <c r="J112" s="1" t="s">
        <v>488</v>
      </c>
      <c r="M112" s="2" t="str">
        <f t="shared" ca="1" si="1"/>
        <v>D</v>
      </c>
      <c r="N112" s="1" t="s">
        <v>972</v>
      </c>
      <c r="O112" s="1" t="s">
        <v>413</v>
      </c>
      <c r="P112" s="1" t="s">
        <v>489</v>
      </c>
      <c r="Q112" s="1">
        <v>79</v>
      </c>
      <c r="R112" s="1">
        <v>0.8</v>
      </c>
    </row>
    <row r="113" spans="1:18" ht="45" x14ac:dyDescent="0.25">
      <c r="A113" s="1" t="s">
        <v>490</v>
      </c>
      <c r="B113" s="1" t="s">
        <v>12</v>
      </c>
      <c r="C113" s="1" t="s">
        <v>6</v>
      </c>
      <c r="D113" s="1" t="s">
        <v>15</v>
      </c>
      <c r="E113" s="1" t="s">
        <v>29</v>
      </c>
      <c r="F113" s="1" t="s">
        <v>29</v>
      </c>
      <c r="G113" s="1" t="s">
        <v>485</v>
      </c>
      <c r="H113" s="1" t="s">
        <v>488</v>
      </c>
      <c r="I113" s="1" t="s">
        <v>487</v>
      </c>
      <c r="J113" s="1" t="s">
        <v>486</v>
      </c>
      <c r="M113" s="2" t="str">
        <f t="shared" ca="1" si="1"/>
        <v>C</v>
      </c>
      <c r="N113" s="1" t="s">
        <v>972</v>
      </c>
      <c r="O113" s="1" t="s">
        <v>421</v>
      </c>
      <c r="P113" s="1" t="s">
        <v>489</v>
      </c>
      <c r="Q113" s="1">
        <v>121</v>
      </c>
      <c r="R113" s="1">
        <v>1</v>
      </c>
    </row>
    <row r="114" spans="1:18" ht="45" x14ac:dyDescent="0.25">
      <c r="A114" s="1" t="s">
        <v>974</v>
      </c>
      <c r="B114" s="1" t="s">
        <v>12</v>
      </c>
      <c r="C114" s="1" t="s">
        <v>6</v>
      </c>
      <c r="D114" s="1" t="s">
        <v>15</v>
      </c>
      <c r="E114" s="1" t="s">
        <v>29</v>
      </c>
      <c r="F114" s="1" t="s">
        <v>29</v>
      </c>
      <c r="G114" s="1" t="s">
        <v>488</v>
      </c>
      <c r="H114" s="1" t="s">
        <v>487</v>
      </c>
      <c r="I114" s="1" t="s">
        <v>485</v>
      </c>
      <c r="J114" s="1" t="s">
        <v>486</v>
      </c>
      <c r="M114" s="2" t="str">
        <f t="shared" ca="1" si="1"/>
        <v>B</v>
      </c>
      <c r="N114" s="1" t="s">
        <v>972</v>
      </c>
      <c r="O114" s="1" t="s">
        <v>421</v>
      </c>
      <c r="P114" s="1" t="s">
        <v>489</v>
      </c>
      <c r="Q114" s="1">
        <v>86</v>
      </c>
      <c r="R114" s="1">
        <v>0.9</v>
      </c>
    </row>
    <row r="115" spans="1:18" ht="45" x14ac:dyDescent="0.25">
      <c r="A115" s="1" t="s">
        <v>975</v>
      </c>
      <c r="B115" s="1" t="s">
        <v>12</v>
      </c>
      <c r="C115" s="1" t="s">
        <v>6</v>
      </c>
      <c r="D115" s="1" t="s">
        <v>15</v>
      </c>
      <c r="E115" s="1" t="s">
        <v>29</v>
      </c>
      <c r="F115" s="1" t="s">
        <v>29</v>
      </c>
      <c r="G115" s="1" t="s">
        <v>488</v>
      </c>
      <c r="H115" s="1" t="s">
        <v>485</v>
      </c>
      <c r="I115" s="1" t="s">
        <v>487</v>
      </c>
      <c r="J115" s="1" t="s">
        <v>486</v>
      </c>
      <c r="M115" s="2" t="str">
        <f t="shared" ca="1" si="1"/>
        <v>C</v>
      </c>
      <c r="N115" s="1" t="s">
        <v>972</v>
      </c>
      <c r="O115" s="1" t="s">
        <v>421</v>
      </c>
      <c r="P115" s="1" t="s">
        <v>489</v>
      </c>
      <c r="Q115" s="1">
        <v>81</v>
      </c>
      <c r="R115" s="1">
        <v>0.7</v>
      </c>
    </row>
    <row r="116" spans="1:18" ht="45" x14ac:dyDescent="0.25">
      <c r="A116" s="1" t="s">
        <v>491</v>
      </c>
      <c r="B116" s="1" t="s">
        <v>12</v>
      </c>
      <c r="C116" s="1" t="s">
        <v>6</v>
      </c>
      <c r="D116" s="1" t="s">
        <v>15</v>
      </c>
      <c r="E116" s="1" t="s">
        <v>29</v>
      </c>
      <c r="F116" s="1" t="s">
        <v>29</v>
      </c>
      <c r="G116" s="1" t="s">
        <v>486</v>
      </c>
      <c r="H116" s="1" t="s">
        <v>485</v>
      </c>
      <c r="I116" s="1" t="s">
        <v>487</v>
      </c>
      <c r="J116" s="1" t="s">
        <v>488</v>
      </c>
      <c r="M116" s="2" t="str">
        <f t="shared" ca="1" si="1"/>
        <v>B</v>
      </c>
      <c r="N116" s="1" t="s">
        <v>972</v>
      </c>
      <c r="O116" s="1" t="s">
        <v>421</v>
      </c>
      <c r="P116" s="1" t="s">
        <v>489</v>
      </c>
      <c r="Q116" s="1">
        <v>74</v>
      </c>
      <c r="R116" s="1">
        <v>0.7</v>
      </c>
    </row>
    <row r="117" spans="1:18" ht="45" x14ac:dyDescent="0.25">
      <c r="A117" s="1" t="s">
        <v>492</v>
      </c>
      <c r="B117" s="1" t="s">
        <v>12</v>
      </c>
      <c r="C117" s="1" t="s">
        <v>6</v>
      </c>
      <c r="D117" s="1" t="s">
        <v>15</v>
      </c>
      <c r="E117" s="1" t="s">
        <v>29</v>
      </c>
      <c r="F117" s="1" t="s">
        <v>29</v>
      </c>
      <c r="G117" s="1" t="s">
        <v>488</v>
      </c>
      <c r="H117" s="1" t="s">
        <v>487</v>
      </c>
      <c r="I117" s="1" t="s">
        <v>485</v>
      </c>
      <c r="J117" s="1" t="s">
        <v>486</v>
      </c>
      <c r="M117" s="2" t="str">
        <f t="shared" ca="1" si="1"/>
        <v>D</v>
      </c>
      <c r="N117" s="1" t="s">
        <v>972</v>
      </c>
      <c r="O117" s="1" t="s">
        <v>442</v>
      </c>
      <c r="P117" s="1" t="s">
        <v>489</v>
      </c>
      <c r="Q117" s="1">
        <v>135</v>
      </c>
      <c r="R117" s="1">
        <v>0.6</v>
      </c>
    </row>
    <row r="118" spans="1:18" ht="60" x14ac:dyDescent="0.25">
      <c r="A118" s="1" t="s">
        <v>976</v>
      </c>
      <c r="B118" s="1" t="s">
        <v>12</v>
      </c>
      <c r="C118" s="1" t="s">
        <v>6</v>
      </c>
      <c r="D118" s="1" t="s">
        <v>15</v>
      </c>
      <c r="E118" s="1" t="s">
        <v>123</v>
      </c>
      <c r="F118" s="1" t="s">
        <v>123</v>
      </c>
      <c r="G118" s="1" t="s">
        <v>487</v>
      </c>
      <c r="H118" s="1" t="s">
        <v>488</v>
      </c>
      <c r="I118" s="1" t="s">
        <v>485</v>
      </c>
      <c r="J118" s="1" t="s">
        <v>486</v>
      </c>
      <c r="M118" s="2" t="str">
        <f t="shared" ca="1" si="1"/>
        <v>C</v>
      </c>
      <c r="N118" s="1" t="s">
        <v>977</v>
      </c>
      <c r="O118" s="1" t="s">
        <v>421</v>
      </c>
      <c r="P118" s="1" t="s">
        <v>493</v>
      </c>
      <c r="Q118" s="1">
        <v>151</v>
      </c>
      <c r="R118" s="1">
        <v>0.6</v>
      </c>
    </row>
    <row r="119" spans="1:18" ht="60" x14ac:dyDescent="0.25">
      <c r="A119" s="1" t="s">
        <v>978</v>
      </c>
      <c r="B119" s="1" t="s">
        <v>12</v>
      </c>
      <c r="C119" s="1" t="s">
        <v>6</v>
      </c>
      <c r="D119" s="1" t="s">
        <v>15</v>
      </c>
      <c r="E119" s="1" t="s">
        <v>123</v>
      </c>
      <c r="F119" s="1" t="s">
        <v>123</v>
      </c>
      <c r="G119" s="1" t="s">
        <v>488</v>
      </c>
      <c r="H119" s="1" t="s">
        <v>487</v>
      </c>
      <c r="I119" s="1" t="s">
        <v>486</v>
      </c>
      <c r="J119" s="1" t="s">
        <v>485</v>
      </c>
      <c r="M119" s="2" t="str">
        <f t="shared" ca="1" si="1"/>
        <v>D</v>
      </c>
      <c r="N119" s="1" t="s">
        <v>979</v>
      </c>
      <c r="O119" s="1" t="s">
        <v>442</v>
      </c>
      <c r="P119" s="1" t="s">
        <v>493</v>
      </c>
      <c r="Q119" s="1">
        <v>146</v>
      </c>
      <c r="R119" s="1">
        <v>1</v>
      </c>
    </row>
    <row r="120" spans="1:18" ht="60" x14ac:dyDescent="0.25">
      <c r="A120" s="1" t="s">
        <v>980</v>
      </c>
      <c r="B120" s="1" t="s">
        <v>12</v>
      </c>
      <c r="C120" s="1" t="s">
        <v>6</v>
      </c>
      <c r="D120" s="1" t="s">
        <v>15</v>
      </c>
      <c r="E120" s="1" t="s">
        <v>123</v>
      </c>
      <c r="F120" s="1" t="s">
        <v>123</v>
      </c>
      <c r="G120" s="1" t="s">
        <v>486</v>
      </c>
      <c r="H120" s="1" t="s">
        <v>487</v>
      </c>
      <c r="I120" s="1" t="s">
        <v>488</v>
      </c>
      <c r="J120" s="1" t="s">
        <v>485</v>
      </c>
      <c r="M120" s="2" t="str">
        <f t="shared" ca="1" si="1"/>
        <v>C</v>
      </c>
      <c r="N120" s="1" t="s">
        <v>981</v>
      </c>
      <c r="O120" s="1" t="s">
        <v>442</v>
      </c>
      <c r="P120" s="1" t="s">
        <v>493</v>
      </c>
      <c r="Q120" s="1">
        <v>166</v>
      </c>
      <c r="R120" s="1">
        <v>0.6</v>
      </c>
    </row>
    <row r="121" spans="1:18" ht="60" x14ac:dyDescent="0.25">
      <c r="A121" s="1" t="s">
        <v>494</v>
      </c>
      <c r="B121" s="1" t="s">
        <v>12</v>
      </c>
      <c r="C121" s="1" t="s">
        <v>6</v>
      </c>
      <c r="D121" s="1" t="s">
        <v>15</v>
      </c>
      <c r="E121" s="1" t="s">
        <v>123</v>
      </c>
      <c r="F121" s="1" t="s">
        <v>123</v>
      </c>
      <c r="G121" s="1" t="s">
        <v>488</v>
      </c>
      <c r="H121" s="1" t="s">
        <v>486</v>
      </c>
      <c r="I121" s="1" t="s">
        <v>485</v>
      </c>
      <c r="J121" s="1" t="s">
        <v>487</v>
      </c>
      <c r="M121" s="2" t="str">
        <f t="shared" ca="1" si="1"/>
        <v>A</v>
      </c>
      <c r="N121" s="1" t="s">
        <v>979</v>
      </c>
      <c r="O121" s="1" t="s">
        <v>421</v>
      </c>
      <c r="P121" s="1" t="s">
        <v>493</v>
      </c>
      <c r="Q121" s="1">
        <v>85</v>
      </c>
      <c r="R121" s="1">
        <v>0.9</v>
      </c>
    </row>
    <row r="122" spans="1:18" ht="60" x14ac:dyDescent="0.25">
      <c r="A122" s="1" t="s">
        <v>982</v>
      </c>
      <c r="B122" s="1" t="s">
        <v>12</v>
      </c>
      <c r="C122" s="1" t="s">
        <v>6</v>
      </c>
      <c r="D122" s="1" t="s">
        <v>15</v>
      </c>
      <c r="E122" s="1" t="s">
        <v>123</v>
      </c>
      <c r="F122" s="1" t="s">
        <v>123</v>
      </c>
      <c r="G122" s="1" t="s">
        <v>486</v>
      </c>
      <c r="H122" s="1" t="s">
        <v>487</v>
      </c>
      <c r="I122" s="1" t="s">
        <v>488</v>
      </c>
      <c r="J122" s="1" t="s">
        <v>485</v>
      </c>
      <c r="M122" s="2" t="str">
        <f t="shared" ca="1" si="1"/>
        <v>A</v>
      </c>
      <c r="N122" s="1" t="s">
        <v>979</v>
      </c>
      <c r="O122" s="1" t="s">
        <v>442</v>
      </c>
      <c r="P122" s="1" t="s">
        <v>493</v>
      </c>
      <c r="Q122" s="1">
        <v>91</v>
      </c>
      <c r="R122" s="1">
        <v>0.8</v>
      </c>
    </row>
    <row r="123" spans="1:18" ht="60" x14ac:dyDescent="0.25">
      <c r="A123" s="1" t="s">
        <v>495</v>
      </c>
      <c r="B123" s="1" t="s">
        <v>12</v>
      </c>
      <c r="C123" s="1" t="s">
        <v>6</v>
      </c>
      <c r="D123" s="1" t="s">
        <v>15</v>
      </c>
      <c r="E123" s="1" t="s">
        <v>123</v>
      </c>
      <c r="F123" s="1" t="s">
        <v>123</v>
      </c>
      <c r="G123" s="1" t="s">
        <v>488</v>
      </c>
      <c r="H123" s="1" t="s">
        <v>485</v>
      </c>
      <c r="I123" s="1" t="s">
        <v>486</v>
      </c>
      <c r="J123" s="1" t="s">
        <v>487</v>
      </c>
      <c r="M123" s="2" t="str">
        <f t="shared" ca="1" si="1"/>
        <v>B</v>
      </c>
      <c r="N123" s="1" t="s">
        <v>979</v>
      </c>
      <c r="O123" s="1" t="s">
        <v>442</v>
      </c>
      <c r="P123" s="1" t="s">
        <v>493</v>
      </c>
      <c r="Q123" s="1">
        <v>133</v>
      </c>
      <c r="R123" s="1">
        <v>0.6</v>
      </c>
    </row>
    <row r="124" spans="1:18" ht="60" x14ac:dyDescent="0.25">
      <c r="A124" s="1" t="s">
        <v>496</v>
      </c>
      <c r="B124" s="1" t="s">
        <v>12</v>
      </c>
      <c r="C124" s="1" t="s">
        <v>6</v>
      </c>
      <c r="D124" s="1" t="s">
        <v>15</v>
      </c>
      <c r="E124" s="1" t="s">
        <v>123</v>
      </c>
      <c r="F124" s="1" t="s">
        <v>123</v>
      </c>
      <c r="G124" s="1" t="s">
        <v>485</v>
      </c>
      <c r="H124" s="1" t="s">
        <v>488</v>
      </c>
      <c r="I124" s="1" t="s">
        <v>486</v>
      </c>
      <c r="J124" s="1" t="s">
        <v>487</v>
      </c>
      <c r="M124" s="2" t="str">
        <f t="shared" ca="1" si="1"/>
        <v>D</v>
      </c>
      <c r="N124" s="1" t="s">
        <v>979</v>
      </c>
      <c r="O124" s="1" t="s">
        <v>421</v>
      </c>
      <c r="P124" s="1" t="s">
        <v>493</v>
      </c>
      <c r="Q124" s="1">
        <v>117</v>
      </c>
      <c r="R124" s="1">
        <v>0.8</v>
      </c>
    </row>
    <row r="125" spans="1:18" ht="60" x14ac:dyDescent="0.25">
      <c r="A125" s="1" t="s">
        <v>983</v>
      </c>
      <c r="B125" s="1" t="s">
        <v>12</v>
      </c>
      <c r="C125" s="1" t="s">
        <v>6</v>
      </c>
      <c r="D125" s="1" t="s">
        <v>15</v>
      </c>
      <c r="E125" s="1" t="s">
        <v>123</v>
      </c>
      <c r="F125" s="1" t="s">
        <v>123</v>
      </c>
      <c r="G125" s="1">
        <v>2.5</v>
      </c>
      <c r="H125" s="1">
        <v>9.1999999999999993</v>
      </c>
      <c r="I125" s="1">
        <v>4.8</v>
      </c>
      <c r="J125" s="1">
        <v>7</v>
      </c>
      <c r="M125" s="2" t="str">
        <f t="shared" ca="1" si="1"/>
        <v>C</v>
      </c>
      <c r="N125" s="1" t="s">
        <v>984</v>
      </c>
      <c r="O125" s="1" t="s">
        <v>413</v>
      </c>
      <c r="P125" s="1" t="s">
        <v>493</v>
      </c>
      <c r="Q125" s="1">
        <v>115</v>
      </c>
      <c r="R125" s="1">
        <v>0.8</v>
      </c>
    </row>
    <row r="126" spans="1:18" ht="60" x14ac:dyDescent="0.25">
      <c r="A126" s="1" t="s">
        <v>497</v>
      </c>
      <c r="B126" s="1" t="s">
        <v>12</v>
      </c>
      <c r="C126" s="1" t="s">
        <v>6</v>
      </c>
      <c r="D126" s="1" t="s">
        <v>15</v>
      </c>
      <c r="E126" s="1" t="s">
        <v>123</v>
      </c>
      <c r="F126" s="1" t="s">
        <v>123</v>
      </c>
      <c r="G126" s="1" t="s">
        <v>485</v>
      </c>
      <c r="H126" s="1" t="s">
        <v>488</v>
      </c>
      <c r="I126" s="1" t="s">
        <v>486</v>
      </c>
      <c r="J126" s="1" t="s">
        <v>487</v>
      </c>
      <c r="M126" s="2" t="str">
        <f t="shared" ca="1" si="1"/>
        <v>C</v>
      </c>
      <c r="N126" s="1" t="s">
        <v>979</v>
      </c>
      <c r="O126" s="1" t="s">
        <v>413</v>
      </c>
      <c r="P126" s="1" t="s">
        <v>493</v>
      </c>
      <c r="Q126" s="1">
        <v>106</v>
      </c>
      <c r="R126" s="1">
        <v>0.6</v>
      </c>
    </row>
    <row r="127" spans="1:18" ht="60" x14ac:dyDescent="0.25">
      <c r="A127" s="1" t="s">
        <v>498</v>
      </c>
      <c r="B127" s="1" t="s">
        <v>12</v>
      </c>
      <c r="C127" s="1" t="s">
        <v>6</v>
      </c>
      <c r="D127" s="1" t="s">
        <v>15</v>
      </c>
      <c r="E127" s="1" t="s">
        <v>123</v>
      </c>
      <c r="F127" s="1" t="s">
        <v>123</v>
      </c>
      <c r="G127" s="1" t="s">
        <v>487</v>
      </c>
      <c r="H127" s="1" t="s">
        <v>488</v>
      </c>
      <c r="I127" s="1" t="s">
        <v>485</v>
      </c>
      <c r="J127" s="1" t="s">
        <v>486</v>
      </c>
      <c r="M127" s="2" t="str">
        <f t="shared" ca="1" si="1"/>
        <v>A</v>
      </c>
      <c r="N127" s="1" t="s">
        <v>979</v>
      </c>
      <c r="O127" s="1" t="s">
        <v>442</v>
      </c>
      <c r="P127" s="1" t="s">
        <v>493</v>
      </c>
      <c r="Q127" s="1">
        <v>125</v>
      </c>
      <c r="R127" s="1">
        <v>0.9</v>
      </c>
    </row>
    <row r="128" spans="1:18" ht="45" x14ac:dyDescent="0.25">
      <c r="A128" s="1" t="s">
        <v>499</v>
      </c>
      <c r="B128" s="1" t="s">
        <v>12</v>
      </c>
      <c r="C128" s="1" t="s">
        <v>6</v>
      </c>
      <c r="D128" s="1" t="s">
        <v>15</v>
      </c>
      <c r="E128" s="1" t="s">
        <v>124</v>
      </c>
      <c r="F128" s="1" t="s">
        <v>124</v>
      </c>
      <c r="G128" s="1" t="s">
        <v>488</v>
      </c>
      <c r="H128" s="1" t="s">
        <v>486</v>
      </c>
      <c r="I128" s="1" t="s">
        <v>487</v>
      </c>
      <c r="J128" s="1" t="s">
        <v>485</v>
      </c>
      <c r="M128" s="2" t="str">
        <f t="shared" ca="1" si="1"/>
        <v>B</v>
      </c>
      <c r="N128" s="1" t="s">
        <v>985</v>
      </c>
      <c r="O128" s="1" t="s">
        <v>421</v>
      </c>
      <c r="P128" s="1" t="s">
        <v>500</v>
      </c>
      <c r="Q128" s="1">
        <v>104</v>
      </c>
      <c r="R128" s="1">
        <v>0.8</v>
      </c>
    </row>
    <row r="129" spans="1:18" ht="45" x14ac:dyDescent="0.25">
      <c r="A129" s="1" t="s">
        <v>501</v>
      </c>
      <c r="B129" s="1" t="s">
        <v>12</v>
      </c>
      <c r="C129" s="1" t="s">
        <v>6</v>
      </c>
      <c r="D129" s="1" t="s">
        <v>15</v>
      </c>
      <c r="E129" s="1" t="s">
        <v>124</v>
      </c>
      <c r="F129" s="1" t="s">
        <v>124</v>
      </c>
      <c r="G129" s="1" t="s">
        <v>488</v>
      </c>
      <c r="H129" s="1" t="s">
        <v>485</v>
      </c>
      <c r="I129" s="1" t="s">
        <v>486</v>
      </c>
      <c r="J129" s="1" t="s">
        <v>487</v>
      </c>
      <c r="M129" s="2" t="str">
        <f t="shared" ca="1" si="1"/>
        <v>A</v>
      </c>
      <c r="N129" s="1" t="s">
        <v>985</v>
      </c>
      <c r="O129" s="1" t="s">
        <v>413</v>
      </c>
      <c r="P129" s="1" t="s">
        <v>500</v>
      </c>
      <c r="Q129" s="1">
        <v>86</v>
      </c>
      <c r="R129" s="1">
        <v>1</v>
      </c>
    </row>
    <row r="130" spans="1:18" ht="45" x14ac:dyDescent="0.25">
      <c r="A130" s="1" t="s">
        <v>502</v>
      </c>
      <c r="B130" s="1" t="s">
        <v>12</v>
      </c>
      <c r="C130" s="1" t="s">
        <v>6</v>
      </c>
      <c r="D130" s="1" t="s">
        <v>15</v>
      </c>
      <c r="E130" s="1" t="s">
        <v>124</v>
      </c>
      <c r="F130" s="1" t="s">
        <v>124</v>
      </c>
      <c r="G130" s="1" t="s">
        <v>485</v>
      </c>
      <c r="H130" s="1" t="s">
        <v>487</v>
      </c>
      <c r="I130" s="1" t="s">
        <v>488</v>
      </c>
      <c r="J130" s="1" t="s">
        <v>486</v>
      </c>
      <c r="M130" s="2" t="str">
        <f t="shared" ca="1" si="1"/>
        <v>B</v>
      </c>
      <c r="N130" s="1" t="s">
        <v>985</v>
      </c>
      <c r="O130" s="1" t="s">
        <v>442</v>
      </c>
      <c r="P130" s="1" t="s">
        <v>500</v>
      </c>
      <c r="Q130" s="1">
        <v>85</v>
      </c>
      <c r="R130" s="1">
        <v>0.8</v>
      </c>
    </row>
    <row r="131" spans="1:18" ht="45" x14ac:dyDescent="0.25">
      <c r="A131" s="1" t="s">
        <v>503</v>
      </c>
      <c r="B131" s="1" t="s">
        <v>12</v>
      </c>
      <c r="C131" s="1" t="s">
        <v>6</v>
      </c>
      <c r="D131" s="1" t="s">
        <v>15</v>
      </c>
      <c r="E131" s="1" t="s">
        <v>124</v>
      </c>
      <c r="F131" s="1" t="s">
        <v>124</v>
      </c>
      <c r="G131" s="1" t="s">
        <v>487</v>
      </c>
      <c r="H131" s="1" t="s">
        <v>488</v>
      </c>
      <c r="I131" s="1" t="s">
        <v>485</v>
      </c>
      <c r="J131" s="1" t="s">
        <v>486</v>
      </c>
      <c r="M131" s="2" t="str">
        <f t="shared" ref="M131:M194" ca="1" si="2">CHAR(RANDBETWEEN(65,68))</f>
        <v>C</v>
      </c>
      <c r="N131" s="1" t="s">
        <v>985</v>
      </c>
      <c r="O131" s="1" t="s">
        <v>421</v>
      </c>
      <c r="P131" s="1" t="s">
        <v>500</v>
      </c>
      <c r="Q131" s="1">
        <v>91</v>
      </c>
      <c r="R131" s="1">
        <v>0.6</v>
      </c>
    </row>
    <row r="132" spans="1:18" ht="45" x14ac:dyDescent="0.25">
      <c r="A132" s="1" t="s">
        <v>504</v>
      </c>
      <c r="B132" s="1" t="s">
        <v>12</v>
      </c>
      <c r="C132" s="1" t="s">
        <v>6</v>
      </c>
      <c r="D132" s="1" t="s">
        <v>15</v>
      </c>
      <c r="E132" s="1" t="s">
        <v>124</v>
      </c>
      <c r="F132" s="1" t="s">
        <v>124</v>
      </c>
      <c r="G132" s="1" t="s">
        <v>488</v>
      </c>
      <c r="H132" s="1" t="s">
        <v>485</v>
      </c>
      <c r="I132" s="1" t="s">
        <v>487</v>
      </c>
      <c r="J132" s="1" t="s">
        <v>486</v>
      </c>
      <c r="M132" s="2" t="str">
        <f t="shared" ca="1" si="2"/>
        <v>C</v>
      </c>
      <c r="N132" s="1" t="s">
        <v>985</v>
      </c>
      <c r="O132" s="1" t="s">
        <v>442</v>
      </c>
      <c r="P132" s="1" t="s">
        <v>500</v>
      </c>
      <c r="Q132" s="1">
        <v>180</v>
      </c>
      <c r="R132" s="1">
        <v>0.9</v>
      </c>
    </row>
    <row r="133" spans="1:18" ht="45" x14ac:dyDescent="0.25">
      <c r="A133" s="1" t="s">
        <v>505</v>
      </c>
      <c r="B133" s="1" t="s">
        <v>12</v>
      </c>
      <c r="C133" s="1" t="s">
        <v>6</v>
      </c>
      <c r="D133" s="1" t="s">
        <v>15</v>
      </c>
      <c r="E133" s="1" t="s">
        <v>124</v>
      </c>
      <c r="F133" s="1" t="s">
        <v>124</v>
      </c>
      <c r="G133" s="1" t="s">
        <v>486</v>
      </c>
      <c r="H133" s="1" t="s">
        <v>488</v>
      </c>
      <c r="I133" s="1" t="s">
        <v>485</v>
      </c>
      <c r="J133" s="1" t="s">
        <v>487</v>
      </c>
      <c r="M133" s="2" t="str">
        <f t="shared" ca="1" si="2"/>
        <v>D</v>
      </c>
      <c r="N133" s="1" t="s">
        <v>985</v>
      </c>
      <c r="O133" s="1" t="s">
        <v>421</v>
      </c>
      <c r="P133" s="1" t="s">
        <v>500</v>
      </c>
      <c r="Q133" s="1">
        <v>73</v>
      </c>
      <c r="R133" s="1">
        <v>0.9</v>
      </c>
    </row>
    <row r="134" spans="1:18" ht="45" x14ac:dyDescent="0.25">
      <c r="A134" s="1" t="s">
        <v>506</v>
      </c>
      <c r="B134" s="1" t="s">
        <v>12</v>
      </c>
      <c r="C134" s="1" t="s">
        <v>6</v>
      </c>
      <c r="D134" s="1" t="s">
        <v>15</v>
      </c>
      <c r="E134" s="1" t="s">
        <v>124</v>
      </c>
      <c r="F134" s="1" t="s">
        <v>124</v>
      </c>
      <c r="G134" s="1" t="s">
        <v>485</v>
      </c>
      <c r="H134" s="1" t="s">
        <v>488</v>
      </c>
      <c r="I134" s="1" t="s">
        <v>487</v>
      </c>
      <c r="J134" s="1" t="s">
        <v>486</v>
      </c>
      <c r="M134" s="2" t="str">
        <f t="shared" ca="1" si="2"/>
        <v>A</v>
      </c>
      <c r="N134" s="1" t="s">
        <v>985</v>
      </c>
      <c r="O134" s="1" t="s">
        <v>442</v>
      </c>
      <c r="P134" s="1" t="s">
        <v>500</v>
      </c>
      <c r="Q134" s="1">
        <v>83</v>
      </c>
      <c r="R134" s="1">
        <v>1</v>
      </c>
    </row>
    <row r="135" spans="1:18" ht="45" x14ac:dyDescent="0.25">
      <c r="A135" s="1" t="s">
        <v>507</v>
      </c>
      <c r="B135" s="1" t="s">
        <v>12</v>
      </c>
      <c r="C135" s="1" t="s">
        <v>6</v>
      </c>
      <c r="D135" s="1" t="s">
        <v>15</v>
      </c>
      <c r="E135" s="1" t="s">
        <v>124</v>
      </c>
      <c r="F135" s="1" t="s">
        <v>124</v>
      </c>
      <c r="G135" s="1">
        <v>2.5</v>
      </c>
      <c r="H135" s="1">
        <v>9.1999999999999993</v>
      </c>
      <c r="I135" s="1">
        <v>4.8</v>
      </c>
      <c r="J135" s="1">
        <v>7</v>
      </c>
      <c r="M135" s="2" t="str">
        <f t="shared" ca="1" si="2"/>
        <v>D</v>
      </c>
      <c r="N135" s="1" t="s">
        <v>986</v>
      </c>
      <c r="O135" s="1" t="s">
        <v>413</v>
      </c>
      <c r="P135" s="1" t="s">
        <v>500</v>
      </c>
      <c r="Q135" s="1">
        <v>175</v>
      </c>
      <c r="R135" s="1">
        <v>1</v>
      </c>
    </row>
    <row r="136" spans="1:18" ht="45" x14ac:dyDescent="0.25">
      <c r="A136" s="1" t="s">
        <v>508</v>
      </c>
      <c r="B136" s="1" t="s">
        <v>12</v>
      </c>
      <c r="C136" s="1" t="s">
        <v>6</v>
      </c>
      <c r="D136" s="1" t="s">
        <v>15</v>
      </c>
      <c r="E136" s="1" t="s">
        <v>124</v>
      </c>
      <c r="F136" s="1" t="s">
        <v>124</v>
      </c>
      <c r="G136" s="1" t="s">
        <v>488</v>
      </c>
      <c r="H136" s="1" t="s">
        <v>486</v>
      </c>
      <c r="I136" s="1" t="s">
        <v>487</v>
      </c>
      <c r="J136" s="1" t="s">
        <v>485</v>
      </c>
      <c r="M136" s="2" t="str">
        <f t="shared" ca="1" si="2"/>
        <v>B</v>
      </c>
      <c r="N136" s="1" t="s">
        <v>985</v>
      </c>
      <c r="O136" s="1" t="s">
        <v>442</v>
      </c>
      <c r="P136" s="1" t="s">
        <v>500</v>
      </c>
      <c r="Q136" s="1">
        <v>174</v>
      </c>
      <c r="R136" s="1">
        <v>0.7</v>
      </c>
    </row>
    <row r="137" spans="1:18" ht="45" x14ac:dyDescent="0.25">
      <c r="A137" s="1" t="s">
        <v>509</v>
      </c>
      <c r="B137" s="1" t="s">
        <v>12</v>
      </c>
      <c r="C137" s="1" t="s">
        <v>6</v>
      </c>
      <c r="D137" s="1" t="s">
        <v>15</v>
      </c>
      <c r="E137" s="1" t="s">
        <v>124</v>
      </c>
      <c r="F137" s="1" t="s">
        <v>124</v>
      </c>
      <c r="G137" s="1" t="s">
        <v>488</v>
      </c>
      <c r="H137" s="1" t="s">
        <v>487</v>
      </c>
      <c r="I137" s="1" t="s">
        <v>485</v>
      </c>
      <c r="J137" s="1" t="s">
        <v>486</v>
      </c>
      <c r="M137" s="2" t="str">
        <f t="shared" ca="1" si="2"/>
        <v>D</v>
      </c>
      <c r="N137" s="1" t="s">
        <v>985</v>
      </c>
      <c r="O137" s="1" t="s">
        <v>413</v>
      </c>
      <c r="P137" s="1" t="s">
        <v>500</v>
      </c>
      <c r="Q137" s="1">
        <v>153</v>
      </c>
      <c r="R137" s="1">
        <v>0.9</v>
      </c>
    </row>
    <row r="138" spans="1:18" ht="45" x14ac:dyDescent="0.25">
      <c r="A138" s="1" t="s">
        <v>510</v>
      </c>
      <c r="B138" s="1" t="s">
        <v>12</v>
      </c>
      <c r="C138" s="1" t="s">
        <v>6</v>
      </c>
      <c r="D138" s="1" t="s">
        <v>15</v>
      </c>
      <c r="E138" s="1" t="s">
        <v>125</v>
      </c>
      <c r="F138" s="1" t="s">
        <v>125</v>
      </c>
      <c r="G138" s="1" t="s">
        <v>487</v>
      </c>
      <c r="H138" s="1" t="s">
        <v>486</v>
      </c>
      <c r="I138" s="1" t="s">
        <v>485</v>
      </c>
      <c r="J138" s="1" t="s">
        <v>488</v>
      </c>
      <c r="M138" s="2" t="str">
        <f t="shared" ca="1" si="2"/>
        <v>A</v>
      </c>
      <c r="N138" s="1" t="s">
        <v>987</v>
      </c>
      <c r="O138" s="1" t="s">
        <v>413</v>
      </c>
      <c r="P138" s="1" t="s">
        <v>511</v>
      </c>
      <c r="Q138" s="1">
        <v>132</v>
      </c>
      <c r="R138" s="1">
        <v>0.8</v>
      </c>
    </row>
    <row r="139" spans="1:18" ht="45" x14ac:dyDescent="0.25">
      <c r="A139" s="1" t="s">
        <v>988</v>
      </c>
      <c r="B139" s="1" t="s">
        <v>12</v>
      </c>
      <c r="C139" s="1" t="s">
        <v>6</v>
      </c>
      <c r="D139" s="1" t="s">
        <v>15</v>
      </c>
      <c r="E139" s="1" t="s">
        <v>125</v>
      </c>
      <c r="F139" s="1" t="s">
        <v>125</v>
      </c>
      <c r="G139" s="1" t="s">
        <v>486</v>
      </c>
      <c r="H139" s="1" t="s">
        <v>485</v>
      </c>
      <c r="I139" s="1" t="s">
        <v>487</v>
      </c>
      <c r="J139" s="1" t="s">
        <v>488</v>
      </c>
      <c r="M139" s="2" t="str">
        <f t="shared" ca="1" si="2"/>
        <v>B</v>
      </c>
      <c r="N139" s="1" t="s">
        <v>989</v>
      </c>
      <c r="O139" s="1" t="s">
        <v>413</v>
      </c>
      <c r="P139" s="1" t="s">
        <v>511</v>
      </c>
      <c r="Q139" s="1">
        <v>68</v>
      </c>
      <c r="R139" s="1">
        <v>0.9</v>
      </c>
    </row>
    <row r="140" spans="1:18" ht="45" x14ac:dyDescent="0.25">
      <c r="A140" s="1" t="s">
        <v>512</v>
      </c>
      <c r="B140" s="1" t="s">
        <v>12</v>
      </c>
      <c r="C140" s="1" t="s">
        <v>6</v>
      </c>
      <c r="D140" s="1" t="s">
        <v>15</v>
      </c>
      <c r="E140" s="1" t="s">
        <v>125</v>
      </c>
      <c r="F140" s="1" t="s">
        <v>125</v>
      </c>
      <c r="G140" s="1" t="s">
        <v>487</v>
      </c>
      <c r="H140" s="1" t="s">
        <v>488</v>
      </c>
      <c r="I140" s="1" t="s">
        <v>486</v>
      </c>
      <c r="J140" s="1" t="s">
        <v>485</v>
      </c>
      <c r="M140" s="2" t="str">
        <f t="shared" ca="1" si="2"/>
        <v>D</v>
      </c>
      <c r="N140" s="1" t="s">
        <v>990</v>
      </c>
      <c r="O140" s="1" t="s">
        <v>413</v>
      </c>
      <c r="P140" s="1" t="s">
        <v>511</v>
      </c>
      <c r="Q140" s="1">
        <v>179</v>
      </c>
      <c r="R140" s="1">
        <v>0.7</v>
      </c>
    </row>
    <row r="141" spans="1:18" ht="45" x14ac:dyDescent="0.25">
      <c r="A141" s="1" t="s">
        <v>991</v>
      </c>
      <c r="B141" s="1" t="s">
        <v>12</v>
      </c>
      <c r="C141" s="1" t="s">
        <v>6</v>
      </c>
      <c r="D141" s="1" t="s">
        <v>15</v>
      </c>
      <c r="E141" s="1" t="s">
        <v>125</v>
      </c>
      <c r="F141" s="1" t="s">
        <v>125</v>
      </c>
      <c r="G141" s="1" t="s">
        <v>485</v>
      </c>
      <c r="H141" s="1" t="s">
        <v>487</v>
      </c>
      <c r="I141" s="1" t="s">
        <v>488</v>
      </c>
      <c r="J141" s="1" t="s">
        <v>486</v>
      </c>
      <c r="M141" s="2" t="str">
        <f t="shared" ca="1" si="2"/>
        <v>D</v>
      </c>
      <c r="N141" s="1" t="s">
        <v>987</v>
      </c>
      <c r="O141" s="1" t="s">
        <v>421</v>
      </c>
      <c r="P141" s="1" t="s">
        <v>511</v>
      </c>
      <c r="Q141" s="1">
        <v>158</v>
      </c>
      <c r="R141" s="1">
        <v>0.6</v>
      </c>
    </row>
    <row r="142" spans="1:18" ht="45" x14ac:dyDescent="0.25">
      <c r="A142" s="1" t="s">
        <v>992</v>
      </c>
      <c r="B142" s="1" t="s">
        <v>12</v>
      </c>
      <c r="C142" s="1" t="s">
        <v>6</v>
      </c>
      <c r="D142" s="1" t="s">
        <v>15</v>
      </c>
      <c r="E142" s="1" t="s">
        <v>125</v>
      </c>
      <c r="F142" s="1" t="s">
        <v>125</v>
      </c>
      <c r="G142" s="1" t="s">
        <v>485</v>
      </c>
      <c r="H142" s="1" t="s">
        <v>487</v>
      </c>
      <c r="I142" s="1" t="s">
        <v>488</v>
      </c>
      <c r="J142" s="1" t="s">
        <v>486</v>
      </c>
      <c r="M142" s="2" t="str">
        <f t="shared" ca="1" si="2"/>
        <v>B</v>
      </c>
      <c r="N142" s="1" t="s">
        <v>987</v>
      </c>
      <c r="O142" s="1" t="s">
        <v>413</v>
      </c>
      <c r="P142" s="1" t="s">
        <v>511</v>
      </c>
      <c r="Q142" s="1">
        <v>65</v>
      </c>
      <c r="R142" s="1">
        <v>0.7</v>
      </c>
    </row>
    <row r="143" spans="1:18" ht="45" x14ac:dyDescent="0.25">
      <c r="A143" s="1" t="s">
        <v>513</v>
      </c>
      <c r="B143" s="1" t="s">
        <v>12</v>
      </c>
      <c r="C143" s="1" t="s">
        <v>6</v>
      </c>
      <c r="D143" s="1" t="s">
        <v>15</v>
      </c>
      <c r="E143" s="1" t="s">
        <v>125</v>
      </c>
      <c r="F143" s="1" t="s">
        <v>125</v>
      </c>
      <c r="G143" s="1" t="s">
        <v>486</v>
      </c>
      <c r="H143" s="1" t="s">
        <v>488</v>
      </c>
      <c r="I143" s="1" t="s">
        <v>487</v>
      </c>
      <c r="J143" s="1" t="s">
        <v>485</v>
      </c>
      <c r="M143" s="2" t="str">
        <f t="shared" ca="1" si="2"/>
        <v>A</v>
      </c>
      <c r="N143" s="1" t="s">
        <v>987</v>
      </c>
      <c r="O143" s="1" t="s">
        <v>413</v>
      </c>
      <c r="P143" s="1" t="s">
        <v>511</v>
      </c>
      <c r="Q143" s="1">
        <v>162</v>
      </c>
      <c r="R143" s="1">
        <v>0.7</v>
      </c>
    </row>
    <row r="144" spans="1:18" ht="45" x14ac:dyDescent="0.25">
      <c r="A144" s="1" t="s">
        <v>993</v>
      </c>
      <c r="B144" s="1" t="s">
        <v>12</v>
      </c>
      <c r="C144" s="1" t="s">
        <v>6</v>
      </c>
      <c r="D144" s="1" t="s">
        <v>15</v>
      </c>
      <c r="E144" s="1" t="s">
        <v>125</v>
      </c>
      <c r="F144" s="1" t="s">
        <v>125</v>
      </c>
      <c r="G144" s="1" t="s">
        <v>486</v>
      </c>
      <c r="H144" s="1" t="s">
        <v>485</v>
      </c>
      <c r="I144" s="1" t="s">
        <v>487</v>
      </c>
      <c r="J144" s="1" t="s">
        <v>488</v>
      </c>
      <c r="M144" s="2" t="str">
        <f t="shared" ca="1" si="2"/>
        <v>D</v>
      </c>
      <c r="N144" s="1" t="s">
        <v>987</v>
      </c>
      <c r="O144" s="1" t="s">
        <v>421</v>
      </c>
      <c r="P144" s="1" t="s">
        <v>511</v>
      </c>
      <c r="Q144" s="1">
        <v>123</v>
      </c>
      <c r="R144" s="1">
        <v>0.8</v>
      </c>
    </row>
    <row r="145" spans="1:18" ht="45" x14ac:dyDescent="0.25">
      <c r="A145" s="1" t="s">
        <v>514</v>
      </c>
      <c r="B145" s="1" t="s">
        <v>12</v>
      </c>
      <c r="C145" s="1" t="s">
        <v>6</v>
      </c>
      <c r="D145" s="1" t="s">
        <v>15</v>
      </c>
      <c r="E145" s="1" t="s">
        <v>125</v>
      </c>
      <c r="F145" s="1" t="s">
        <v>125</v>
      </c>
      <c r="G145" s="1" t="s">
        <v>486</v>
      </c>
      <c r="H145" s="1" t="s">
        <v>487</v>
      </c>
      <c r="I145" s="1" t="s">
        <v>488</v>
      </c>
      <c r="J145" s="1" t="s">
        <v>485</v>
      </c>
      <c r="M145" s="2" t="str">
        <f t="shared" ca="1" si="2"/>
        <v>D</v>
      </c>
      <c r="N145" s="1" t="s">
        <v>987</v>
      </c>
      <c r="O145" s="1" t="s">
        <v>442</v>
      </c>
      <c r="P145" s="1" t="s">
        <v>511</v>
      </c>
      <c r="Q145" s="1">
        <v>180</v>
      </c>
      <c r="R145" s="1">
        <v>0.9</v>
      </c>
    </row>
    <row r="146" spans="1:18" ht="45" x14ac:dyDescent="0.25">
      <c r="A146" s="1" t="s">
        <v>515</v>
      </c>
      <c r="B146" s="1" t="s">
        <v>12</v>
      </c>
      <c r="C146" s="1" t="s">
        <v>6</v>
      </c>
      <c r="D146" s="1" t="s">
        <v>15</v>
      </c>
      <c r="E146" s="1" t="s">
        <v>125</v>
      </c>
      <c r="F146" s="1" t="s">
        <v>125</v>
      </c>
      <c r="G146" s="1" t="s">
        <v>485</v>
      </c>
      <c r="H146" s="1" t="s">
        <v>488</v>
      </c>
      <c r="I146" s="1" t="s">
        <v>487</v>
      </c>
      <c r="J146" s="1" t="s">
        <v>486</v>
      </c>
      <c r="M146" s="2" t="str">
        <f t="shared" ca="1" si="2"/>
        <v>B</v>
      </c>
      <c r="N146" s="1" t="s">
        <v>987</v>
      </c>
      <c r="O146" s="1" t="s">
        <v>442</v>
      </c>
      <c r="P146" s="1" t="s">
        <v>511</v>
      </c>
      <c r="Q146" s="1">
        <v>128</v>
      </c>
      <c r="R146" s="1">
        <v>1</v>
      </c>
    </row>
    <row r="147" spans="1:18" ht="45" x14ac:dyDescent="0.25">
      <c r="A147" s="1" t="s">
        <v>516</v>
      </c>
      <c r="B147" s="1" t="s">
        <v>12</v>
      </c>
      <c r="C147" s="1" t="s">
        <v>6</v>
      </c>
      <c r="D147" s="1" t="s">
        <v>15</v>
      </c>
      <c r="E147" s="1" t="s">
        <v>125</v>
      </c>
      <c r="F147" s="1" t="s">
        <v>125</v>
      </c>
      <c r="G147" s="1" t="s">
        <v>488</v>
      </c>
      <c r="H147" s="1" t="s">
        <v>487</v>
      </c>
      <c r="I147" s="1" t="s">
        <v>485</v>
      </c>
      <c r="J147" s="1" t="s">
        <v>486</v>
      </c>
      <c r="M147" s="2" t="str">
        <f t="shared" ca="1" si="2"/>
        <v>D</v>
      </c>
      <c r="N147" s="1" t="s">
        <v>987</v>
      </c>
      <c r="O147" s="1" t="s">
        <v>413</v>
      </c>
      <c r="P147" s="1" t="s">
        <v>511</v>
      </c>
      <c r="Q147" s="1">
        <v>132</v>
      </c>
      <c r="R147" s="1">
        <v>0.7</v>
      </c>
    </row>
    <row r="148" spans="1:18" ht="30" x14ac:dyDescent="0.25">
      <c r="A148" s="1" t="s">
        <v>994</v>
      </c>
      <c r="B148" s="1" t="s">
        <v>12</v>
      </c>
      <c r="C148" s="1" t="s">
        <v>6</v>
      </c>
      <c r="D148" s="1" t="s">
        <v>15</v>
      </c>
      <c r="E148" s="1" t="s">
        <v>126</v>
      </c>
      <c r="F148" s="1" t="s">
        <v>126</v>
      </c>
      <c r="G148" s="1" t="s">
        <v>518</v>
      </c>
      <c r="H148" s="1" t="s">
        <v>519</v>
      </c>
      <c r="I148" s="1" t="s">
        <v>517</v>
      </c>
      <c r="J148" s="1" t="s">
        <v>520</v>
      </c>
      <c r="M148" s="2" t="str">
        <f t="shared" ca="1" si="2"/>
        <v>D</v>
      </c>
      <c r="N148" s="1" t="s">
        <v>995</v>
      </c>
      <c r="O148" s="1" t="s">
        <v>421</v>
      </c>
      <c r="P148" s="1" t="s">
        <v>521</v>
      </c>
      <c r="Q148" s="1">
        <v>108</v>
      </c>
      <c r="R148" s="1">
        <v>0.7</v>
      </c>
    </row>
    <row r="149" spans="1:18" ht="30" x14ac:dyDescent="0.25">
      <c r="A149" s="1" t="s">
        <v>996</v>
      </c>
      <c r="B149" s="1" t="s">
        <v>12</v>
      </c>
      <c r="C149" s="1" t="s">
        <v>6</v>
      </c>
      <c r="D149" s="1" t="s">
        <v>15</v>
      </c>
      <c r="E149" s="1" t="s">
        <v>126</v>
      </c>
      <c r="F149" s="1" t="s">
        <v>126</v>
      </c>
      <c r="G149" s="1" t="s">
        <v>486</v>
      </c>
      <c r="H149" s="1" t="s">
        <v>487</v>
      </c>
      <c r="I149" s="1" t="s">
        <v>488</v>
      </c>
      <c r="J149" s="1" t="s">
        <v>485</v>
      </c>
      <c r="M149" s="2" t="str">
        <f t="shared" ca="1" si="2"/>
        <v>B</v>
      </c>
      <c r="N149" s="1" t="s">
        <v>997</v>
      </c>
      <c r="O149" s="1" t="s">
        <v>421</v>
      </c>
      <c r="P149" s="1" t="s">
        <v>521</v>
      </c>
      <c r="Q149" s="1">
        <v>64</v>
      </c>
      <c r="R149" s="1">
        <v>0.7</v>
      </c>
    </row>
    <row r="150" spans="1:18" ht="30" x14ac:dyDescent="0.25">
      <c r="A150" s="1" t="s">
        <v>998</v>
      </c>
      <c r="B150" s="1" t="s">
        <v>12</v>
      </c>
      <c r="C150" s="1" t="s">
        <v>6</v>
      </c>
      <c r="D150" s="1" t="s">
        <v>15</v>
      </c>
      <c r="E150" s="1" t="s">
        <v>126</v>
      </c>
      <c r="F150" s="1" t="s">
        <v>126</v>
      </c>
      <c r="G150" s="1" t="s">
        <v>485</v>
      </c>
      <c r="H150" s="1" t="s">
        <v>488</v>
      </c>
      <c r="I150" s="1" t="s">
        <v>486</v>
      </c>
      <c r="J150" s="1" t="s">
        <v>487</v>
      </c>
      <c r="M150" s="2" t="str">
        <f t="shared" ca="1" si="2"/>
        <v>C</v>
      </c>
      <c r="N150" s="1" t="s">
        <v>997</v>
      </c>
      <c r="O150" s="1" t="s">
        <v>442</v>
      </c>
      <c r="P150" s="1" t="s">
        <v>521</v>
      </c>
      <c r="Q150" s="1">
        <v>106</v>
      </c>
      <c r="R150" s="1">
        <v>0.9</v>
      </c>
    </row>
    <row r="151" spans="1:18" ht="45" x14ac:dyDescent="0.25">
      <c r="A151" s="1" t="s">
        <v>999</v>
      </c>
      <c r="B151" s="1" t="s">
        <v>12</v>
      </c>
      <c r="C151" s="1" t="s">
        <v>6</v>
      </c>
      <c r="D151" s="1" t="s">
        <v>15</v>
      </c>
      <c r="E151" s="1" t="s">
        <v>126</v>
      </c>
      <c r="F151" s="1" t="s">
        <v>126</v>
      </c>
      <c r="G151" s="1" t="s">
        <v>488</v>
      </c>
      <c r="H151" s="1" t="s">
        <v>485</v>
      </c>
      <c r="I151" s="1" t="s">
        <v>487</v>
      </c>
      <c r="J151" s="1" t="s">
        <v>486</v>
      </c>
      <c r="M151" s="2" t="str">
        <f t="shared" ca="1" si="2"/>
        <v>B</v>
      </c>
      <c r="N151" s="1" t="s">
        <v>1000</v>
      </c>
      <c r="O151" s="1" t="s">
        <v>442</v>
      </c>
      <c r="P151" s="1" t="s">
        <v>521</v>
      </c>
      <c r="Q151" s="1">
        <v>137</v>
      </c>
      <c r="R151" s="1">
        <v>0.9</v>
      </c>
    </row>
    <row r="152" spans="1:18" ht="30" x14ac:dyDescent="0.25">
      <c r="A152" s="1" t="s">
        <v>522</v>
      </c>
      <c r="B152" s="1" t="s">
        <v>12</v>
      </c>
      <c r="C152" s="1" t="s">
        <v>6</v>
      </c>
      <c r="D152" s="1" t="s">
        <v>15</v>
      </c>
      <c r="E152" s="1" t="s">
        <v>126</v>
      </c>
      <c r="F152" s="1" t="s">
        <v>126</v>
      </c>
      <c r="G152" s="1" t="s">
        <v>485</v>
      </c>
      <c r="H152" s="1" t="s">
        <v>487</v>
      </c>
      <c r="I152" s="1" t="s">
        <v>488</v>
      </c>
      <c r="J152" s="1" t="s">
        <v>486</v>
      </c>
      <c r="M152" s="2" t="str">
        <f t="shared" ca="1" si="2"/>
        <v>C</v>
      </c>
      <c r="N152" s="1" t="s">
        <v>997</v>
      </c>
      <c r="O152" s="1" t="s">
        <v>421</v>
      </c>
      <c r="P152" s="1" t="s">
        <v>521</v>
      </c>
      <c r="Q152" s="1">
        <v>176</v>
      </c>
      <c r="R152" s="1">
        <v>0.6</v>
      </c>
    </row>
    <row r="153" spans="1:18" ht="30" x14ac:dyDescent="0.25">
      <c r="A153" s="1" t="s">
        <v>523</v>
      </c>
      <c r="B153" s="1" t="s">
        <v>12</v>
      </c>
      <c r="C153" s="1" t="s">
        <v>6</v>
      </c>
      <c r="D153" s="1" t="s">
        <v>15</v>
      </c>
      <c r="E153" s="1" t="s">
        <v>126</v>
      </c>
      <c r="F153" s="1" t="s">
        <v>126</v>
      </c>
      <c r="G153" s="1" t="s">
        <v>487</v>
      </c>
      <c r="H153" s="1" t="s">
        <v>485</v>
      </c>
      <c r="I153" s="1" t="s">
        <v>486</v>
      </c>
      <c r="J153" s="1" t="s">
        <v>488</v>
      </c>
      <c r="M153" s="2" t="str">
        <f t="shared" ca="1" si="2"/>
        <v>B</v>
      </c>
      <c r="N153" s="1" t="s">
        <v>997</v>
      </c>
      <c r="O153" s="1" t="s">
        <v>442</v>
      </c>
      <c r="P153" s="1" t="s">
        <v>521</v>
      </c>
      <c r="Q153" s="1">
        <v>151</v>
      </c>
      <c r="R153" s="1">
        <v>0.7</v>
      </c>
    </row>
    <row r="154" spans="1:18" ht="30" x14ac:dyDescent="0.25">
      <c r="A154" s="1" t="s">
        <v>524</v>
      </c>
      <c r="B154" s="1" t="s">
        <v>12</v>
      </c>
      <c r="C154" s="1" t="s">
        <v>6</v>
      </c>
      <c r="D154" s="1" t="s">
        <v>15</v>
      </c>
      <c r="E154" s="1" t="s">
        <v>126</v>
      </c>
      <c r="F154" s="1" t="s">
        <v>126</v>
      </c>
      <c r="G154" s="1" t="s">
        <v>488</v>
      </c>
      <c r="H154" s="1" t="s">
        <v>485</v>
      </c>
      <c r="I154" s="1" t="s">
        <v>487</v>
      </c>
      <c r="J154" s="1" t="s">
        <v>486</v>
      </c>
      <c r="M154" s="2" t="str">
        <f t="shared" ca="1" si="2"/>
        <v>C</v>
      </c>
      <c r="N154" s="1" t="s">
        <v>997</v>
      </c>
      <c r="O154" s="1" t="s">
        <v>442</v>
      </c>
      <c r="P154" s="1" t="s">
        <v>521</v>
      </c>
      <c r="Q154" s="1">
        <v>74</v>
      </c>
      <c r="R154" s="1">
        <v>0.7</v>
      </c>
    </row>
    <row r="155" spans="1:18" ht="30" x14ac:dyDescent="0.25">
      <c r="A155" s="1" t="s">
        <v>525</v>
      </c>
      <c r="B155" s="1" t="s">
        <v>12</v>
      </c>
      <c r="C155" s="1" t="s">
        <v>6</v>
      </c>
      <c r="D155" s="1" t="s">
        <v>15</v>
      </c>
      <c r="E155" s="1" t="s">
        <v>126</v>
      </c>
      <c r="F155" s="1" t="s">
        <v>126</v>
      </c>
      <c r="G155" s="1" t="s">
        <v>486</v>
      </c>
      <c r="H155" s="1" t="s">
        <v>488</v>
      </c>
      <c r="I155" s="1" t="s">
        <v>485</v>
      </c>
      <c r="J155" s="1" t="s">
        <v>487</v>
      </c>
      <c r="M155" s="2" t="str">
        <f t="shared" ca="1" si="2"/>
        <v>D</v>
      </c>
      <c r="N155" s="1" t="s">
        <v>997</v>
      </c>
      <c r="O155" s="1" t="s">
        <v>421</v>
      </c>
      <c r="P155" s="1" t="s">
        <v>521</v>
      </c>
      <c r="Q155" s="1">
        <v>156</v>
      </c>
      <c r="R155" s="1">
        <v>1</v>
      </c>
    </row>
    <row r="156" spans="1:18" ht="30" x14ac:dyDescent="0.25">
      <c r="A156" s="1" t="s">
        <v>1001</v>
      </c>
      <c r="B156" s="1" t="s">
        <v>12</v>
      </c>
      <c r="C156" s="1" t="s">
        <v>6</v>
      </c>
      <c r="D156" s="1" t="s">
        <v>15</v>
      </c>
      <c r="E156" s="1" t="s">
        <v>126</v>
      </c>
      <c r="F156" s="1" t="s">
        <v>126</v>
      </c>
      <c r="G156" s="1">
        <v>9.1999999999999993</v>
      </c>
      <c r="H156" s="1">
        <v>4.8</v>
      </c>
      <c r="I156" s="1">
        <v>2.5</v>
      </c>
      <c r="J156" s="1">
        <v>7</v>
      </c>
      <c r="M156" s="2" t="str">
        <f t="shared" ca="1" si="2"/>
        <v>B</v>
      </c>
      <c r="N156" s="1" t="s">
        <v>1002</v>
      </c>
      <c r="O156" s="1" t="s">
        <v>413</v>
      </c>
      <c r="P156" s="1" t="s">
        <v>521</v>
      </c>
      <c r="Q156" s="1">
        <v>87</v>
      </c>
      <c r="R156" s="1">
        <v>0.6</v>
      </c>
    </row>
    <row r="157" spans="1:18" ht="30" x14ac:dyDescent="0.25">
      <c r="A157" s="1" t="s">
        <v>526</v>
      </c>
      <c r="B157" s="1" t="s">
        <v>12</v>
      </c>
      <c r="C157" s="1" t="s">
        <v>6</v>
      </c>
      <c r="D157" s="1" t="s">
        <v>15</v>
      </c>
      <c r="E157" s="1" t="s">
        <v>126</v>
      </c>
      <c r="F157" s="1" t="s">
        <v>126</v>
      </c>
      <c r="G157" s="1">
        <v>9.1999999999999993</v>
      </c>
      <c r="H157" s="1">
        <v>2.5</v>
      </c>
      <c r="I157" s="1">
        <v>4.8</v>
      </c>
      <c r="J157" s="1">
        <v>7</v>
      </c>
      <c r="M157" s="2" t="str">
        <f t="shared" ca="1" si="2"/>
        <v>C</v>
      </c>
      <c r="N157" s="1" t="s">
        <v>1003</v>
      </c>
      <c r="O157" s="1" t="s">
        <v>421</v>
      </c>
      <c r="P157" s="1" t="s">
        <v>521</v>
      </c>
      <c r="Q157" s="1">
        <v>73</v>
      </c>
      <c r="R157" s="1">
        <v>0.7</v>
      </c>
    </row>
    <row r="158" spans="1:18" ht="60" x14ac:dyDescent="0.25">
      <c r="A158" s="1" t="s">
        <v>527</v>
      </c>
      <c r="B158" s="1" t="s">
        <v>12</v>
      </c>
      <c r="C158" s="1" t="s">
        <v>6</v>
      </c>
      <c r="D158" s="1" t="s">
        <v>17</v>
      </c>
      <c r="E158" s="1" t="s">
        <v>528</v>
      </c>
      <c r="F158" s="1" t="s">
        <v>528</v>
      </c>
      <c r="G158" s="1" t="s">
        <v>531</v>
      </c>
      <c r="H158" s="1" t="s">
        <v>529</v>
      </c>
      <c r="I158" s="1" t="s">
        <v>532</v>
      </c>
      <c r="J158" s="1" t="s">
        <v>530</v>
      </c>
      <c r="M158" s="2" t="str">
        <f t="shared" ca="1" si="2"/>
        <v>A</v>
      </c>
      <c r="N158" s="1" t="s">
        <v>533</v>
      </c>
      <c r="O158" s="1" t="s">
        <v>413</v>
      </c>
      <c r="P158" s="1" t="s">
        <v>534</v>
      </c>
      <c r="Q158" s="1">
        <v>95</v>
      </c>
      <c r="R158" s="1">
        <v>0.9</v>
      </c>
    </row>
    <row r="159" spans="1:18" ht="60" x14ac:dyDescent="0.25">
      <c r="A159" s="1" t="s">
        <v>535</v>
      </c>
      <c r="B159" s="1" t="s">
        <v>12</v>
      </c>
      <c r="C159" s="1" t="s">
        <v>6</v>
      </c>
      <c r="D159" s="1" t="s">
        <v>17</v>
      </c>
      <c r="E159" s="1" t="s">
        <v>528</v>
      </c>
      <c r="F159" s="1" t="s">
        <v>528</v>
      </c>
      <c r="G159" s="1" t="s">
        <v>536</v>
      </c>
      <c r="H159" s="1" t="s">
        <v>538</v>
      </c>
      <c r="I159" s="1" t="s">
        <v>539</v>
      </c>
      <c r="J159" s="1" t="s">
        <v>537</v>
      </c>
      <c r="M159" s="2" t="str">
        <f t="shared" ca="1" si="2"/>
        <v>D</v>
      </c>
      <c r="N159" s="1" t="s">
        <v>540</v>
      </c>
      <c r="O159" s="1" t="s">
        <v>421</v>
      </c>
      <c r="P159" s="1" t="s">
        <v>534</v>
      </c>
      <c r="Q159" s="1">
        <v>82</v>
      </c>
      <c r="R159" s="1">
        <v>0.7</v>
      </c>
    </row>
    <row r="160" spans="1:18" ht="60" x14ac:dyDescent="0.25">
      <c r="A160" s="1" t="s">
        <v>541</v>
      </c>
      <c r="B160" s="1" t="s">
        <v>12</v>
      </c>
      <c r="C160" s="1" t="s">
        <v>6</v>
      </c>
      <c r="D160" s="1" t="s">
        <v>17</v>
      </c>
      <c r="E160" s="1" t="s">
        <v>528</v>
      </c>
      <c r="F160" s="1" t="s">
        <v>528</v>
      </c>
      <c r="G160" s="1" t="s">
        <v>543</v>
      </c>
      <c r="H160" s="1" t="s">
        <v>542</v>
      </c>
      <c r="I160" s="1" t="s">
        <v>544</v>
      </c>
      <c r="J160" s="1" t="s">
        <v>545</v>
      </c>
      <c r="M160" s="2" t="str">
        <f t="shared" ca="1" si="2"/>
        <v>D</v>
      </c>
      <c r="N160" s="1" t="s">
        <v>546</v>
      </c>
      <c r="O160" s="1" t="s">
        <v>442</v>
      </c>
      <c r="P160" s="1" t="s">
        <v>534</v>
      </c>
      <c r="Q160" s="1">
        <v>168</v>
      </c>
      <c r="R160" s="1">
        <v>0.8</v>
      </c>
    </row>
    <row r="161" spans="1:18" ht="60" x14ac:dyDescent="0.25">
      <c r="A161" s="1" t="s">
        <v>547</v>
      </c>
      <c r="B161" s="1" t="s">
        <v>12</v>
      </c>
      <c r="C161" s="1" t="s">
        <v>6</v>
      </c>
      <c r="D161" s="1" t="s">
        <v>17</v>
      </c>
      <c r="E161" s="1" t="s">
        <v>528</v>
      </c>
      <c r="F161" s="1" t="s">
        <v>528</v>
      </c>
      <c r="G161" s="1" t="s">
        <v>548</v>
      </c>
      <c r="H161" s="1" t="s">
        <v>550</v>
      </c>
      <c r="I161" s="1" t="s">
        <v>549</v>
      </c>
      <c r="J161" s="1" t="s">
        <v>551</v>
      </c>
      <c r="M161" s="2" t="str">
        <f t="shared" ca="1" si="2"/>
        <v>D</v>
      </c>
      <c r="N161" s="1" t="s">
        <v>552</v>
      </c>
      <c r="O161" s="1" t="s">
        <v>413</v>
      </c>
      <c r="P161" s="1" t="s">
        <v>534</v>
      </c>
      <c r="Q161" s="1">
        <v>165</v>
      </c>
      <c r="R161" s="1">
        <v>0.9</v>
      </c>
    </row>
    <row r="162" spans="1:18" ht="60" x14ac:dyDescent="0.25">
      <c r="A162" s="1" t="s">
        <v>553</v>
      </c>
      <c r="B162" s="1" t="s">
        <v>12</v>
      </c>
      <c r="C162" s="1" t="s">
        <v>6</v>
      </c>
      <c r="D162" s="1" t="s">
        <v>17</v>
      </c>
      <c r="E162" s="1" t="s">
        <v>528</v>
      </c>
      <c r="F162" s="1" t="s">
        <v>528</v>
      </c>
      <c r="G162" s="1" t="s">
        <v>543</v>
      </c>
      <c r="H162" s="1" t="s">
        <v>544</v>
      </c>
      <c r="I162" s="1" t="s">
        <v>542</v>
      </c>
      <c r="J162" s="1" t="s">
        <v>545</v>
      </c>
      <c r="M162" s="2" t="str">
        <f t="shared" ca="1" si="2"/>
        <v>B</v>
      </c>
      <c r="N162" s="1" t="s">
        <v>546</v>
      </c>
      <c r="O162" s="1" t="s">
        <v>413</v>
      </c>
      <c r="P162" s="1" t="s">
        <v>534</v>
      </c>
      <c r="Q162" s="1">
        <v>173</v>
      </c>
      <c r="R162" s="1">
        <v>0.9</v>
      </c>
    </row>
    <row r="163" spans="1:18" ht="60" x14ac:dyDescent="0.25">
      <c r="A163" s="1" t="s">
        <v>554</v>
      </c>
      <c r="B163" s="1" t="s">
        <v>12</v>
      </c>
      <c r="C163" s="1" t="s">
        <v>6</v>
      </c>
      <c r="D163" s="1" t="s">
        <v>17</v>
      </c>
      <c r="E163" s="1" t="s">
        <v>528</v>
      </c>
      <c r="F163" s="1" t="s">
        <v>528</v>
      </c>
      <c r="G163" s="1" t="s">
        <v>543</v>
      </c>
      <c r="H163" s="1" t="s">
        <v>544</v>
      </c>
      <c r="I163" s="1" t="s">
        <v>545</v>
      </c>
      <c r="J163" s="1" t="s">
        <v>542</v>
      </c>
      <c r="M163" s="2" t="str">
        <f t="shared" ca="1" si="2"/>
        <v>D</v>
      </c>
      <c r="N163" s="1" t="s">
        <v>546</v>
      </c>
      <c r="O163" s="1" t="s">
        <v>442</v>
      </c>
      <c r="P163" s="1" t="s">
        <v>534</v>
      </c>
      <c r="Q163" s="1">
        <v>95</v>
      </c>
      <c r="R163" s="1">
        <v>0.7</v>
      </c>
    </row>
    <row r="164" spans="1:18" ht="60" x14ac:dyDescent="0.25">
      <c r="A164" s="1" t="s">
        <v>555</v>
      </c>
      <c r="B164" s="1" t="s">
        <v>12</v>
      </c>
      <c r="C164" s="1" t="s">
        <v>6</v>
      </c>
      <c r="D164" s="1" t="s">
        <v>17</v>
      </c>
      <c r="E164" s="1" t="s">
        <v>528</v>
      </c>
      <c r="F164" s="1" t="s">
        <v>528</v>
      </c>
      <c r="G164" s="1" t="s">
        <v>543</v>
      </c>
      <c r="H164" s="1" t="s">
        <v>545</v>
      </c>
      <c r="I164" s="1" t="s">
        <v>544</v>
      </c>
      <c r="J164" s="1" t="s">
        <v>542</v>
      </c>
      <c r="M164" s="2" t="str">
        <f t="shared" ca="1" si="2"/>
        <v>A</v>
      </c>
      <c r="N164" s="1" t="s">
        <v>546</v>
      </c>
      <c r="O164" s="1" t="s">
        <v>442</v>
      </c>
      <c r="P164" s="1" t="s">
        <v>534</v>
      </c>
      <c r="Q164" s="1">
        <v>118</v>
      </c>
      <c r="R164" s="1">
        <v>1</v>
      </c>
    </row>
    <row r="165" spans="1:18" ht="60" x14ac:dyDescent="0.25">
      <c r="A165" s="1" t="s">
        <v>556</v>
      </c>
      <c r="B165" s="1" t="s">
        <v>12</v>
      </c>
      <c r="C165" s="1" t="s">
        <v>6</v>
      </c>
      <c r="D165" s="1" t="s">
        <v>17</v>
      </c>
      <c r="E165" s="1" t="s">
        <v>528</v>
      </c>
      <c r="F165" s="1" t="s">
        <v>528</v>
      </c>
      <c r="G165" s="1" t="s">
        <v>544</v>
      </c>
      <c r="H165" s="1" t="s">
        <v>542</v>
      </c>
      <c r="I165" s="1" t="s">
        <v>543</v>
      </c>
      <c r="J165" s="1" t="s">
        <v>545</v>
      </c>
      <c r="M165" s="2" t="str">
        <f t="shared" ca="1" si="2"/>
        <v>A</v>
      </c>
      <c r="N165" s="1" t="s">
        <v>546</v>
      </c>
      <c r="O165" s="1" t="s">
        <v>413</v>
      </c>
      <c r="P165" s="1" t="s">
        <v>534</v>
      </c>
      <c r="Q165" s="1">
        <v>85</v>
      </c>
      <c r="R165" s="1">
        <v>0.7</v>
      </c>
    </row>
    <row r="166" spans="1:18" ht="60" x14ac:dyDescent="0.25">
      <c r="A166" s="1" t="s">
        <v>557</v>
      </c>
      <c r="B166" s="1" t="s">
        <v>12</v>
      </c>
      <c r="C166" s="1" t="s">
        <v>6</v>
      </c>
      <c r="D166" s="1" t="s">
        <v>17</v>
      </c>
      <c r="E166" s="1" t="s">
        <v>528</v>
      </c>
      <c r="F166" s="1" t="s">
        <v>528</v>
      </c>
      <c r="G166" s="1" t="s">
        <v>545</v>
      </c>
      <c r="H166" s="1" t="s">
        <v>543</v>
      </c>
      <c r="I166" s="1" t="s">
        <v>544</v>
      </c>
      <c r="J166" s="1" t="s">
        <v>542</v>
      </c>
      <c r="M166" s="2" t="str">
        <f t="shared" ca="1" si="2"/>
        <v>C</v>
      </c>
      <c r="N166" s="1" t="s">
        <v>546</v>
      </c>
      <c r="O166" s="1" t="s">
        <v>421</v>
      </c>
      <c r="P166" s="1" t="s">
        <v>534</v>
      </c>
      <c r="Q166" s="1">
        <v>168</v>
      </c>
      <c r="R166" s="1">
        <v>0.9</v>
      </c>
    </row>
    <row r="167" spans="1:18" ht="60" x14ac:dyDescent="0.25">
      <c r="A167" s="1" t="s">
        <v>558</v>
      </c>
      <c r="B167" s="1" t="s">
        <v>12</v>
      </c>
      <c r="C167" s="1" t="s">
        <v>6</v>
      </c>
      <c r="D167" s="1" t="s">
        <v>17</v>
      </c>
      <c r="E167" s="1" t="s">
        <v>528</v>
      </c>
      <c r="F167" s="1" t="s">
        <v>528</v>
      </c>
      <c r="G167" s="1" t="s">
        <v>542</v>
      </c>
      <c r="H167" s="1" t="s">
        <v>543</v>
      </c>
      <c r="I167" s="1" t="s">
        <v>544</v>
      </c>
      <c r="J167" s="1" t="s">
        <v>545</v>
      </c>
      <c r="M167" s="2" t="str">
        <f t="shared" ca="1" si="2"/>
        <v>D</v>
      </c>
      <c r="N167" s="1" t="s">
        <v>546</v>
      </c>
      <c r="O167" s="1" t="s">
        <v>442</v>
      </c>
      <c r="P167" s="1" t="s">
        <v>534</v>
      </c>
      <c r="Q167" s="1">
        <v>99</v>
      </c>
      <c r="R167" s="1">
        <v>0.6</v>
      </c>
    </row>
    <row r="168" spans="1:18" ht="60" x14ac:dyDescent="0.25">
      <c r="A168" s="1" t="s">
        <v>559</v>
      </c>
      <c r="B168" s="1" t="s">
        <v>12</v>
      </c>
      <c r="C168" s="1" t="s">
        <v>6</v>
      </c>
      <c r="D168" s="1" t="s">
        <v>17</v>
      </c>
      <c r="E168" s="1" t="s">
        <v>560</v>
      </c>
      <c r="F168" s="1" t="s">
        <v>560</v>
      </c>
      <c r="G168" s="1" t="s">
        <v>563</v>
      </c>
      <c r="H168" s="1" t="s">
        <v>561</v>
      </c>
      <c r="I168" s="1" t="s">
        <v>562</v>
      </c>
      <c r="J168" s="1" t="s">
        <v>564</v>
      </c>
      <c r="M168" s="2" t="str">
        <f t="shared" ca="1" si="2"/>
        <v>A</v>
      </c>
      <c r="N168" s="1" t="s">
        <v>565</v>
      </c>
      <c r="O168" s="1" t="s">
        <v>442</v>
      </c>
      <c r="P168" s="1" t="s">
        <v>566</v>
      </c>
      <c r="Q168" s="1">
        <v>129</v>
      </c>
      <c r="R168" s="1">
        <v>1</v>
      </c>
    </row>
    <row r="169" spans="1:18" ht="90" x14ac:dyDescent="0.25">
      <c r="A169" s="1" t="s">
        <v>567</v>
      </c>
      <c r="B169" s="1" t="s">
        <v>12</v>
      </c>
      <c r="C169" s="1" t="s">
        <v>6</v>
      </c>
      <c r="D169" s="1" t="s">
        <v>17</v>
      </c>
      <c r="E169" s="1" t="s">
        <v>560</v>
      </c>
      <c r="F169" s="1" t="s">
        <v>560</v>
      </c>
      <c r="G169" s="1" t="s">
        <v>568</v>
      </c>
      <c r="H169" s="1" t="s">
        <v>569</v>
      </c>
      <c r="I169" s="1" t="s">
        <v>571</v>
      </c>
      <c r="J169" s="1" t="s">
        <v>570</v>
      </c>
      <c r="M169" s="2" t="str">
        <f t="shared" ca="1" si="2"/>
        <v>D</v>
      </c>
      <c r="N169" s="1" t="s">
        <v>572</v>
      </c>
      <c r="O169" s="1" t="s">
        <v>421</v>
      </c>
      <c r="P169" s="1" t="s">
        <v>566</v>
      </c>
      <c r="Q169" s="1">
        <v>125</v>
      </c>
      <c r="R169" s="1">
        <v>1</v>
      </c>
    </row>
    <row r="170" spans="1:18" ht="105" x14ac:dyDescent="0.25">
      <c r="A170" s="1" t="s">
        <v>573</v>
      </c>
      <c r="B170" s="1" t="s">
        <v>12</v>
      </c>
      <c r="C170" s="1" t="s">
        <v>6</v>
      </c>
      <c r="D170" s="1" t="s">
        <v>17</v>
      </c>
      <c r="E170" s="1" t="s">
        <v>560</v>
      </c>
      <c r="F170" s="1" t="s">
        <v>560</v>
      </c>
      <c r="G170" s="1" t="s">
        <v>575</v>
      </c>
      <c r="H170" s="1" t="s">
        <v>576</v>
      </c>
      <c r="I170" s="1" t="s">
        <v>574</v>
      </c>
      <c r="J170" s="1" t="s">
        <v>577</v>
      </c>
      <c r="M170" s="2" t="str">
        <f t="shared" ca="1" si="2"/>
        <v>D</v>
      </c>
      <c r="N170" s="1" t="s">
        <v>578</v>
      </c>
      <c r="O170" s="1" t="s">
        <v>442</v>
      </c>
      <c r="P170" s="1" t="s">
        <v>566</v>
      </c>
      <c r="Q170" s="1">
        <v>178</v>
      </c>
      <c r="R170" s="1">
        <v>0.9</v>
      </c>
    </row>
    <row r="171" spans="1:18" ht="105" x14ac:dyDescent="0.25">
      <c r="A171" s="1" t="s">
        <v>579</v>
      </c>
      <c r="B171" s="1" t="s">
        <v>12</v>
      </c>
      <c r="C171" s="1" t="s">
        <v>6</v>
      </c>
      <c r="D171" s="1" t="s">
        <v>17</v>
      </c>
      <c r="E171" s="1" t="s">
        <v>560</v>
      </c>
      <c r="F171" s="1" t="s">
        <v>560</v>
      </c>
      <c r="G171" s="1" t="s">
        <v>577</v>
      </c>
      <c r="H171" s="1" t="s">
        <v>575</v>
      </c>
      <c r="I171" s="1" t="s">
        <v>574</v>
      </c>
      <c r="J171" s="1" t="s">
        <v>576</v>
      </c>
      <c r="M171" s="2" t="str">
        <f t="shared" ca="1" si="2"/>
        <v>A</v>
      </c>
      <c r="N171" s="1" t="s">
        <v>578</v>
      </c>
      <c r="O171" s="1" t="s">
        <v>442</v>
      </c>
      <c r="P171" s="1" t="s">
        <v>566</v>
      </c>
      <c r="Q171" s="1">
        <v>102</v>
      </c>
      <c r="R171" s="1">
        <v>0.7</v>
      </c>
    </row>
    <row r="172" spans="1:18" ht="90" x14ac:dyDescent="0.25">
      <c r="A172" s="1" t="s">
        <v>580</v>
      </c>
      <c r="B172" s="1" t="s">
        <v>12</v>
      </c>
      <c r="C172" s="1" t="s">
        <v>6</v>
      </c>
      <c r="D172" s="1" t="s">
        <v>17</v>
      </c>
      <c r="E172" s="1" t="s">
        <v>560</v>
      </c>
      <c r="F172" s="1" t="s">
        <v>560</v>
      </c>
      <c r="G172" s="1" t="s">
        <v>577</v>
      </c>
      <c r="H172" s="1" t="s">
        <v>576</v>
      </c>
      <c r="I172" s="1" t="s">
        <v>575</v>
      </c>
      <c r="J172" s="1" t="s">
        <v>574</v>
      </c>
      <c r="M172" s="2" t="str">
        <f t="shared" ca="1" si="2"/>
        <v>C</v>
      </c>
      <c r="N172" s="1" t="s">
        <v>578</v>
      </c>
      <c r="O172" s="1" t="s">
        <v>413</v>
      </c>
      <c r="P172" s="1" t="s">
        <v>566</v>
      </c>
      <c r="Q172" s="1">
        <v>136</v>
      </c>
      <c r="R172" s="1">
        <v>0.9</v>
      </c>
    </row>
    <row r="173" spans="1:18" ht="105" x14ac:dyDescent="0.25">
      <c r="A173" s="1" t="s">
        <v>581</v>
      </c>
      <c r="B173" s="1" t="s">
        <v>12</v>
      </c>
      <c r="C173" s="1" t="s">
        <v>6</v>
      </c>
      <c r="D173" s="1" t="s">
        <v>17</v>
      </c>
      <c r="E173" s="1" t="s">
        <v>560</v>
      </c>
      <c r="F173" s="1" t="s">
        <v>560</v>
      </c>
      <c r="G173" s="1" t="s">
        <v>576</v>
      </c>
      <c r="H173" s="1" t="s">
        <v>577</v>
      </c>
      <c r="I173" s="1" t="s">
        <v>574</v>
      </c>
      <c r="J173" s="1" t="s">
        <v>575</v>
      </c>
      <c r="M173" s="2" t="str">
        <f t="shared" ca="1" si="2"/>
        <v>D</v>
      </c>
      <c r="N173" s="1" t="s">
        <v>578</v>
      </c>
      <c r="O173" s="1" t="s">
        <v>413</v>
      </c>
      <c r="P173" s="1" t="s">
        <v>566</v>
      </c>
      <c r="Q173" s="1">
        <v>82</v>
      </c>
      <c r="R173" s="1">
        <v>0.6</v>
      </c>
    </row>
    <row r="174" spans="1:18" ht="105" x14ac:dyDescent="0.25">
      <c r="A174" s="1" t="s">
        <v>582</v>
      </c>
      <c r="B174" s="1" t="s">
        <v>12</v>
      </c>
      <c r="C174" s="1" t="s">
        <v>6</v>
      </c>
      <c r="D174" s="1" t="s">
        <v>17</v>
      </c>
      <c r="E174" s="1" t="s">
        <v>560</v>
      </c>
      <c r="F174" s="1" t="s">
        <v>560</v>
      </c>
      <c r="G174" s="1" t="s">
        <v>575</v>
      </c>
      <c r="H174" s="1" t="s">
        <v>576</v>
      </c>
      <c r="I174" s="1" t="s">
        <v>574</v>
      </c>
      <c r="J174" s="1" t="s">
        <v>577</v>
      </c>
      <c r="M174" s="2" t="str">
        <f t="shared" ca="1" si="2"/>
        <v>A</v>
      </c>
      <c r="N174" s="1" t="s">
        <v>578</v>
      </c>
      <c r="O174" s="1" t="s">
        <v>442</v>
      </c>
      <c r="P174" s="1" t="s">
        <v>566</v>
      </c>
      <c r="Q174" s="1">
        <v>63</v>
      </c>
      <c r="R174" s="1">
        <v>0.7</v>
      </c>
    </row>
    <row r="175" spans="1:18" ht="105" x14ac:dyDescent="0.25">
      <c r="A175" s="1" t="s">
        <v>583</v>
      </c>
      <c r="B175" s="1" t="s">
        <v>12</v>
      </c>
      <c r="C175" s="1" t="s">
        <v>6</v>
      </c>
      <c r="D175" s="1" t="s">
        <v>17</v>
      </c>
      <c r="E175" s="1" t="s">
        <v>560</v>
      </c>
      <c r="F175" s="1" t="s">
        <v>560</v>
      </c>
      <c r="G175" s="1" t="s">
        <v>574</v>
      </c>
      <c r="H175" s="1" t="s">
        <v>576</v>
      </c>
      <c r="I175" s="1" t="s">
        <v>575</v>
      </c>
      <c r="J175" s="1" t="s">
        <v>577</v>
      </c>
      <c r="M175" s="2" t="str">
        <f t="shared" ca="1" si="2"/>
        <v>C</v>
      </c>
      <c r="N175" s="1" t="s">
        <v>578</v>
      </c>
      <c r="O175" s="1" t="s">
        <v>421</v>
      </c>
      <c r="P175" s="1" t="s">
        <v>566</v>
      </c>
      <c r="Q175" s="1">
        <v>83</v>
      </c>
      <c r="R175" s="1">
        <v>0.8</v>
      </c>
    </row>
    <row r="176" spans="1:18" ht="105" x14ac:dyDescent="0.25">
      <c r="A176" s="1" t="s">
        <v>584</v>
      </c>
      <c r="B176" s="1" t="s">
        <v>12</v>
      </c>
      <c r="C176" s="1" t="s">
        <v>6</v>
      </c>
      <c r="D176" s="1" t="s">
        <v>17</v>
      </c>
      <c r="E176" s="1" t="s">
        <v>560</v>
      </c>
      <c r="F176" s="1" t="s">
        <v>560</v>
      </c>
      <c r="G176" s="1" t="s">
        <v>574</v>
      </c>
      <c r="H176" s="1" t="s">
        <v>576</v>
      </c>
      <c r="I176" s="1" t="s">
        <v>577</v>
      </c>
      <c r="J176" s="1" t="s">
        <v>575</v>
      </c>
      <c r="M176" s="2" t="str">
        <f t="shared" ca="1" si="2"/>
        <v>A</v>
      </c>
      <c r="N176" s="1" t="s">
        <v>578</v>
      </c>
      <c r="O176" s="1" t="s">
        <v>421</v>
      </c>
      <c r="P176" s="1" t="s">
        <v>566</v>
      </c>
      <c r="Q176" s="1">
        <v>137</v>
      </c>
      <c r="R176" s="1">
        <v>0.7</v>
      </c>
    </row>
    <row r="177" spans="1:18" ht="90" x14ac:dyDescent="0.25">
      <c r="A177" s="1" t="s">
        <v>585</v>
      </c>
      <c r="B177" s="1" t="s">
        <v>12</v>
      </c>
      <c r="C177" s="1" t="s">
        <v>6</v>
      </c>
      <c r="D177" s="1" t="s">
        <v>17</v>
      </c>
      <c r="E177" s="1" t="s">
        <v>560</v>
      </c>
      <c r="F177" s="1" t="s">
        <v>560</v>
      </c>
      <c r="G177" s="1" t="s">
        <v>577</v>
      </c>
      <c r="H177" s="1" t="s">
        <v>576</v>
      </c>
      <c r="I177" s="1" t="s">
        <v>575</v>
      </c>
      <c r="J177" s="1" t="s">
        <v>574</v>
      </c>
      <c r="M177" s="2" t="str">
        <f t="shared" ca="1" si="2"/>
        <v>D</v>
      </c>
      <c r="N177" s="1" t="s">
        <v>578</v>
      </c>
      <c r="O177" s="1" t="s">
        <v>442</v>
      </c>
      <c r="P177" s="1" t="s">
        <v>566</v>
      </c>
      <c r="Q177" s="1">
        <v>107</v>
      </c>
      <c r="R177" s="1">
        <v>0.9</v>
      </c>
    </row>
    <row r="178" spans="1:18" ht="90" x14ac:dyDescent="0.25">
      <c r="A178" s="1" t="s">
        <v>586</v>
      </c>
      <c r="B178" s="1" t="s">
        <v>12</v>
      </c>
      <c r="C178" s="1" t="s">
        <v>6</v>
      </c>
      <c r="D178" s="1" t="s">
        <v>17</v>
      </c>
      <c r="E178" s="1" t="s">
        <v>587</v>
      </c>
      <c r="F178" s="1" t="s">
        <v>587</v>
      </c>
      <c r="G178" s="1" t="s">
        <v>588</v>
      </c>
      <c r="H178" s="1" t="s">
        <v>590</v>
      </c>
      <c r="I178" s="1" t="s">
        <v>589</v>
      </c>
      <c r="J178" s="1" t="s">
        <v>591</v>
      </c>
      <c r="M178" s="2" t="str">
        <f t="shared" ca="1" si="2"/>
        <v>A</v>
      </c>
      <c r="N178" s="1" t="s">
        <v>592</v>
      </c>
      <c r="O178" s="1" t="s">
        <v>421</v>
      </c>
      <c r="P178" s="1" t="s">
        <v>593</v>
      </c>
      <c r="Q178" s="1">
        <v>170</v>
      </c>
      <c r="R178" s="1">
        <v>0.9</v>
      </c>
    </row>
    <row r="179" spans="1:18" ht="90" x14ac:dyDescent="0.25">
      <c r="A179" s="1" t="s">
        <v>594</v>
      </c>
      <c r="B179" s="1" t="s">
        <v>12</v>
      </c>
      <c r="C179" s="1" t="s">
        <v>6</v>
      </c>
      <c r="D179" s="1" t="s">
        <v>17</v>
      </c>
      <c r="E179" s="1" t="s">
        <v>587</v>
      </c>
      <c r="F179" s="1" t="s">
        <v>587</v>
      </c>
      <c r="G179" s="1" t="s">
        <v>590</v>
      </c>
      <c r="H179" s="1" t="s">
        <v>589</v>
      </c>
      <c r="I179" s="1" t="s">
        <v>591</v>
      </c>
      <c r="J179" s="1" t="s">
        <v>588</v>
      </c>
      <c r="M179" s="2" t="str">
        <f t="shared" ca="1" si="2"/>
        <v>D</v>
      </c>
      <c r="N179" s="1" t="s">
        <v>592</v>
      </c>
      <c r="O179" s="1" t="s">
        <v>421</v>
      </c>
      <c r="P179" s="1" t="s">
        <v>593</v>
      </c>
      <c r="Q179" s="1">
        <v>106</v>
      </c>
      <c r="R179" s="1">
        <v>0.9</v>
      </c>
    </row>
    <row r="180" spans="1:18" ht="90" x14ac:dyDescent="0.25">
      <c r="A180" s="1" t="s">
        <v>595</v>
      </c>
      <c r="B180" s="1" t="s">
        <v>12</v>
      </c>
      <c r="C180" s="1" t="s">
        <v>6</v>
      </c>
      <c r="D180" s="1" t="s">
        <v>17</v>
      </c>
      <c r="E180" s="1" t="s">
        <v>587</v>
      </c>
      <c r="F180" s="1" t="s">
        <v>587</v>
      </c>
      <c r="G180" s="1" t="s">
        <v>591</v>
      </c>
      <c r="H180" s="1" t="s">
        <v>589</v>
      </c>
      <c r="I180" s="1" t="s">
        <v>588</v>
      </c>
      <c r="J180" s="1" t="s">
        <v>590</v>
      </c>
      <c r="M180" s="2" t="str">
        <f t="shared" ca="1" si="2"/>
        <v>B</v>
      </c>
      <c r="N180" s="1" t="s">
        <v>592</v>
      </c>
      <c r="O180" s="1" t="s">
        <v>442</v>
      </c>
      <c r="P180" s="1" t="s">
        <v>593</v>
      </c>
      <c r="Q180" s="1">
        <v>140</v>
      </c>
      <c r="R180" s="1">
        <v>0.9</v>
      </c>
    </row>
    <row r="181" spans="1:18" ht="90" x14ac:dyDescent="0.25">
      <c r="A181" s="1" t="s">
        <v>596</v>
      </c>
      <c r="B181" s="1" t="s">
        <v>12</v>
      </c>
      <c r="C181" s="1" t="s">
        <v>6</v>
      </c>
      <c r="D181" s="1" t="s">
        <v>17</v>
      </c>
      <c r="E181" s="1" t="s">
        <v>587</v>
      </c>
      <c r="F181" s="1" t="s">
        <v>587</v>
      </c>
      <c r="G181" s="1" t="s">
        <v>591</v>
      </c>
      <c r="H181" s="1" t="s">
        <v>589</v>
      </c>
      <c r="I181" s="1" t="s">
        <v>588</v>
      </c>
      <c r="J181" s="1" t="s">
        <v>590</v>
      </c>
      <c r="M181" s="2" t="str">
        <f t="shared" ca="1" si="2"/>
        <v>A</v>
      </c>
      <c r="N181" s="1" t="s">
        <v>592</v>
      </c>
      <c r="O181" s="1" t="s">
        <v>442</v>
      </c>
      <c r="P181" s="1" t="s">
        <v>593</v>
      </c>
      <c r="Q181" s="1">
        <v>109</v>
      </c>
      <c r="R181" s="1">
        <v>0.7</v>
      </c>
    </row>
    <row r="182" spans="1:18" ht="90" x14ac:dyDescent="0.25">
      <c r="A182" s="1" t="s">
        <v>597</v>
      </c>
      <c r="B182" s="1" t="s">
        <v>12</v>
      </c>
      <c r="C182" s="1" t="s">
        <v>6</v>
      </c>
      <c r="D182" s="1" t="s">
        <v>17</v>
      </c>
      <c r="E182" s="1" t="s">
        <v>587</v>
      </c>
      <c r="F182" s="1" t="s">
        <v>587</v>
      </c>
      <c r="G182" s="1" t="s">
        <v>591</v>
      </c>
      <c r="H182" s="1" t="s">
        <v>590</v>
      </c>
      <c r="I182" s="1" t="s">
        <v>588</v>
      </c>
      <c r="J182" s="1" t="s">
        <v>589</v>
      </c>
      <c r="M182" s="2" t="str">
        <f t="shared" ca="1" si="2"/>
        <v>A</v>
      </c>
      <c r="N182" s="1" t="s">
        <v>592</v>
      </c>
      <c r="O182" s="1" t="s">
        <v>421</v>
      </c>
      <c r="P182" s="1" t="s">
        <v>593</v>
      </c>
      <c r="Q182" s="1">
        <v>127</v>
      </c>
      <c r="R182" s="1">
        <v>0.7</v>
      </c>
    </row>
    <row r="183" spans="1:18" ht="90" x14ac:dyDescent="0.25">
      <c r="A183" s="1" t="s">
        <v>598</v>
      </c>
      <c r="B183" s="1" t="s">
        <v>12</v>
      </c>
      <c r="C183" s="1" t="s">
        <v>6</v>
      </c>
      <c r="D183" s="1" t="s">
        <v>17</v>
      </c>
      <c r="E183" s="1" t="s">
        <v>587</v>
      </c>
      <c r="F183" s="1" t="s">
        <v>587</v>
      </c>
      <c r="G183" s="1" t="s">
        <v>589</v>
      </c>
      <c r="H183" s="1" t="s">
        <v>591</v>
      </c>
      <c r="I183" s="1" t="s">
        <v>588</v>
      </c>
      <c r="J183" s="1" t="s">
        <v>590</v>
      </c>
      <c r="M183" s="2" t="str">
        <f t="shared" ca="1" si="2"/>
        <v>B</v>
      </c>
      <c r="N183" s="1" t="s">
        <v>592</v>
      </c>
      <c r="O183" s="1" t="s">
        <v>413</v>
      </c>
      <c r="P183" s="1" t="s">
        <v>593</v>
      </c>
      <c r="Q183" s="1">
        <v>156</v>
      </c>
      <c r="R183" s="1">
        <v>0.9</v>
      </c>
    </row>
    <row r="184" spans="1:18" ht="90" x14ac:dyDescent="0.25">
      <c r="A184" s="1" t="s">
        <v>599</v>
      </c>
      <c r="B184" s="1" t="s">
        <v>12</v>
      </c>
      <c r="C184" s="1" t="s">
        <v>6</v>
      </c>
      <c r="D184" s="1" t="s">
        <v>17</v>
      </c>
      <c r="E184" s="1" t="s">
        <v>587</v>
      </c>
      <c r="F184" s="1" t="s">
        <v>587</v>
      </c>
      <c r="G184" s="1" t="s">
        <v>588</v>
      </c>
      <c r="H184" s="1" t="s">
        <v>591</v>
      </c>
      <c r="I184" s="1" t="s">
        <v>589</v>
      </c>
      <c r="J184" s="1" t="s">
        <v>590</v>
      </c>
      <c r="M184" s="2" t="str">
        <f t="shared" ca="1" si="2"/>
        <v>A</v>
      </c>
      <c r="N184" s="1" t="s">
        <v>592</v>
      </c>
      <c r="O184" s="1" t="s">
        <v>442</v>
      </c>
      <c r="P184" s="1" t="s">
        <v>593</v>
      </c>
      <c r="Q184" s="1">
        <v>103</v>
      </c>
      <c r="R184" s="1">
        <v>0.7</v>
      </c>
    </row>
    <row r="185" spans="1:18" ht="90" x14ac:dyDescent="0.25">
      <c r="A185" s="1" t="s">
        <v>600</v>
      </c>
      <c r="B185" s="1" t="s">
        <v>12</v>
      </c>
      <c r="C185" s="1" t="s">
        <v>6</v>
      </c>
      <c r="D185" s="1" t="s">
        <v>17</v>
      </c>
      <c r="E185" s="1" t="s">
        <v>587</v>
      </c>
      <c r="F185" s="1" t="s">
        <v>587</v>
      </c>
      <c r="G185" s="1" t="s">
        <v>591</v>
      </c>
      <c r="H185" s="1" t="s">
        <v>588</v>
      </c>
      <c r="I185" s="1" t="s">
        <v>589</v>
      </c>
      <c r="J185" s="1" t="s">
        <v>590</v>
      </c>
      <c r="M185" s="2" t="str">
        <f t="shared" ca="1" si="2"/>
        <v>A</v>
      </c>
      <c r="N185" s="1" t="s">
        <v>592</v>
      </c>
      <c r="O185" s="1" t="s">
        <v>442</v>
      </c>
      <c r="P185" s="1" t="s">
        <v>593</v>
      </c>
      <c r="Q185" s="1">
        <v>75</v>
      </c>
      <c r="R185" s="1">
        <v>0.8</v>
      </c>
    </row>
    <row r="186" spans="1:18" ht="90" x14ac:dyDescent="0.25">
      <c r="A186" s="1" t="s">
        <v>601</v>
      </c>
      <c r="B186" s="1" t="s">
        <v>12</v>
      </c>
      <c r="C186" s="1" t="s">
        <v>6</v>
      </c>
      <c r="D186" s="1" t="s">
        <v>17</v>
      </c>
      <c r="E186" s="1" t="s">
        <v>587</v>
      </c>
      <c r="F186" s="1" t="s">
        <v>587</v>
      </c>
      <c r="G186" s="1" t="s">
        <v>589</v>
      </c>
      <c r="H186" s="1" t="s">
        <v>590</v>
      </c>
      <c r="I186" s="1" t="s">
        <v>591</v>
      </c>
      <c r="J186" s="1" t="s">
        <v>588</v>
      </c>
      <c r="M186" s="2" t="str">
        <f t="shared" ca="1" si="2"/>
        <v>D</v>
      </c>
      <c r="N186" s="1" t="s">
        <v>592</v>
      </c>
      <c r="O186" s="1" t="s">
        <v>421</v>
      </c>
      <c r="P186" s="1" t="s">
        <v>593</v>
      </c>
      <c r="Q186" s="1">
        <v>158</v>
      </c>
      <c r="R186" s="1">
        <v>0.8</v>
      </c>
    </row>
    <row r="187" spans="1:18" ht="90" x14ac:dyDescent="0.25">
      <c r="A187" s="1" t="s">
        <v>602</v>
      </c>
      <c r="B187" s="1" t="s">
        <v>12</v>
      </c>
      <c r="C187" s="1" t="s">
        <v>6</v>
      </c>
      <c r="D187" s="1" t="s">
        <v>17</v>
      </c>
      <c r="E187" s="1" t="s">
        <v>587</v>
      </c>
      <c r="F187" s="1" t="s">
        <v>587</v>
      </c>
      <c r="G187" s="1" t="s">
        <v>589</v>
      </c>
      <c r="H187" s="1" t="s">
        <v>591</v>
      </c>
      <c r="I187" s="1" t="s">
        <v>588</v>
      </c>
      <c r="J187" s="1" t="s">
        <v>590</v>
      </c>
      <c r="M187" s="2" t="str">
        <f t="shared" ca="1" si="2"/>
        <v>B</v>
      </c>
      <c r="N187" s="1" t="s">
        <v>592</v>
      </c>
      <c r="O187" s="1" t="s">
        <v>421</v>
      </c>
      <c r="P187" s="1" t="s">
        <v>593</v>
      </c>
      <c r="Q187" s="1">
        <v>174</v>
      </c>
      <c r="R187" s="1">
        <v>0.7</v>
      </c>
    </row>
    <row r="188" spans="1:18" ht="75" x14ac:dyDescent="0.25">
      <c r="A188" s="1" t="s">
        <v>603</v>
      </c>
      <c r="B188" s="1" t="s">
        <v>12</v>
      </c>
      <c r="C188" s="1" t="s">
        <v>6</v>
      </c>
      <c r="D188" s="1" t="s">
        <v>17</v>
      </c>
      <c r="E188" s="1" t="s">
        <v>604</v>
      </c>
      <c r="F188" s="1" t="s">
        <v>604</v>
      </c>
      <c r="G188" s="1" t="s">
        <v>607</v>
      </c>
      <c r="H188" s="1" t="s">
        <v>608</v>
      </c>
      <c r="I188" s="1" t="s">
        <v>605</v>
      </c>
      <c r="J188" s="1" t="s">
        <v>606</v>
      </c>
      <c r="M188" s="2" t="str">
        <f t="shared" ca="1" si="2"/>
        <v>C</v>
      </c>
      <c r="N188" s="1" t="s">
        <v>609</v>
      </c>
      <c r="O188" s="1" t="s">
        <v>442</v>
      </c>
      <c r="P188" s="1" t="s">
        <v>610</v>
      </c>
      <c r="Q188" s="1">
        <v>139</v>
      </c>
      <c r="R188" s="1">
        <v>0.9</v>
      </c>
    </row>
    <row r="189" spans="1:18" ht="75" x14ac:dyDescent="0.25">
      <c r="A189" s="1" t="s">
        <v>611</v>
      </c>
      <c r="B189" s="1" t="s">
        <v>12</v>
      </c>
      <c r="C189" s="1" t="s">
        <v>6</v>
      </c>
      <c r="D189" s="1" t="s">
        <v>17</v>
      </c>
      <c r="E189" s="1" t="s">
        <v>604</v>
      </c>
      <c r="F189" s="1" t="s">
        <v>604</v>
      </c>
      <c r="G189" s="1" t="s">
        <v>613</v>
      </c>
      <c r="H189" s="1" t="s">
        <v>612</v>
      </c>
      <c r="I189" s="1" t="s">
        <v>614</v>
      </c>
      <c r="J189" s="1" t="s">
        <v>615</v>
      </c>
      <c r="M189" s="2" t="str">
        <f t="shared" ca="1" si="2"/>
        <v>B</v>
      </c>
      <c r="N189" s="1" t="s">
        <v>616</v>
      </c>
      <c r="O189" s="1" t="s">
        <v>421</v>
      </c>
      <c r="P189" s="1" t="s">
        <v>610</v>
      </c>
      <c r="Q189" s="1">
        <v>130</v>
      </c>
      <c r="R189" s="1">
        <v>0.9</v>
      </c>
    </row>
    <row r="190" spans="1:18" ht="75" x14ac:dyDescent="0.25">
      <c r="A190" s="1" t="s">
        <v>617</v>
      </c>
      <c r="B190" s="1" t="s">
        <v>12</v>
      </c>
      <c r="C190" s="1" t="s">
        <v>6</v>
      </c>
      <c r="D190" s="1" t="s">
        <v>17</v>
      </c>
      <c r="E190" s="1" t="s">
        <v>604</v>
      </c>
      <c r="F190" s="1" t="s">
        <v>604</v>
      </c>
      <c r="G190" s="1" t="s">
        <v>615</v>
      </c>
      <c r="H190" s="1" t="s">
        <v>613</v>
      </c>
      <c r="I190" s="1" t="s">
        <v>614</v>
      </c>
      <c r="J190" s="1" t="s">
        <v>612</v>
      </c>
      <c r="M190" s="2" t="str">
        <f t="shared" ca="1" si="2"/>
        <v>A</v>
      </c>
      <c r="N190" s="1" t="s">
        <v>616</v>
      </c>
      <c r="O190" s="1" t="s">
        <v>442</v>
      </c>
      <c r="P190" s="1" t="s">
        <v>610</v>
      </c>
      <c r="Q190" s="1">
        <v>158</v>
      </c>
      <c r="R190" s="1">
        <v>0.9</v>
      </c>
    </row>
    <row r="191" spans="1:18" ht="75" x14ac:dyDescent="0.25">
      <c r="A191" s="1" t="s">
        <v>618</v>
      </c>
      <c r="B191" s="1" t="s">
        <v>12</v>
      </c>
      <c r="C191" s="1" t="s">
        <v>6</v>
      </c>
      <c r="D191" s="1" t="s">
        <v>17</v>
      </c>
      <c r="E191" s="1" t="s">
        <v>604</v>
      </c>
      <c r="F191" s="1" t="s">
        <v>604</v>
      </c>
      <c r="G191" s="1" t="s">
        <v>613</v>
      </c>
      <c r="H191" s="1" t="s">
        <v>612</v>
      </c>
      <c r="I191" s="1" t="s">
        <v>615</v>
      </c>
      <c r="J191" s="1" t="s">
        <v>614</v>
      </c>
      <c r="M191" s="2" t="str">
        <f t="shared" ca="1" si="2"/>
        <v>A</v>
      </c>
      <c r="N191" s="1" t="s">
        <v>616</v>
      </c>
      <c r="O191" s="1" t="s">
        <v>442</v>
      </c>
      <c r="P191" s="1" t="s">
        <v>610</v>
      </c>
      <c r="Q191" s="1">
        <v>140</v>
      </c>
      <c r="R191" s="1">
        <v>0.9</v>
      </c>
    </row>
    <row r="192" spans="1:18" ht="75" x14ac:dyDescent="0.25">
      <c r="A192" s="1" t="s">
        <v>619</v>
      </c>
      <c r="B192" s="1" t="s">
        <v>12</v>
      </c>
      <c r="C192" s="1" t="s">
        <v>6</v>
      </c>
      <c r="D192" s="1" t="s">
        <v>17</v>
      </c>
      <c r="E192" s="1" t="s">
        <v>604</v>
      </c>
      <c r="F192" s="1" t="s">
        <v>604</v>
      </c>
      <c r="G192" s="1" t="s">
        <v>612</v>
      </c>
      <c r="H192" s="1" t="s">
        <v>613</v>
      </c>
      <c r="I192" s="1" t="s">
        <v>614</v>
      </c>
      <c r="J192" s="1" t="s">
        <v>615</v>
      </c>
      <c r="M192" s="2" t="str">
        <f t="shared" ca="1" si="2"/>
        <v>C</v>
      </c>
      <c r="N192" s="1" t="s">
        <v>616</v>
      </c>
      <c r="O192" s="1" t="s">
        <v>442</v>
      </c>
      <c r="P192" s="1" t="s">
        <v>610</v>
      </c>
      <c r="Q192" s="1">
        <v>85</v>
      </c>
      <c r="R192" s="1">
        <v>1</v>
      </c>
    </row>
    <row r="193" spans="1:18" ht="75" x14ac:dyDescent="0.25">
      <c r="A193" s="1" t="s">
        <v>620</v>
      </c>
      <c r="B193" s="1" t="s">
        <v>12</v>
      </c>
      <c r="C193" s="1" t="s">
        <v>6</v>
      </c>
      <c r="D193" s="1" t="s">
        <v>17</v>
      </c>
      <c r="E193" s="1" t="s">
        <v>604</v>
      </c>
      <c r="F193" s="1" t="s">
        <v>604</v>
      </c>
      <c r="G193" s="1" t="s">
        <v>615</v>
      </c>
      <c r="H193" s="1" t="s">
        <v>612</v>
      </c>
      <c r="I193" s="1" t="s">
        <v>614</v>
      </c>
      <c r="J193" s="1" t="s">
        <v>613</v>
      </c>
      <c r="M193" s="2" t="str">
        <f t="shared" ca="1" si="2"/>
        <v>C</v>
      </c>
      <c r="N193" s="1" t="s">
        <v>616</v>
      </c>
      <c r="O193" s="1" t="s">
        <v>442</v>
      </c>
      <c r="P193" s="1" t="s">
        <v>610</v>
      </c>
      <c r="Q193" s="1">
        <v>117</v>
      </c>
      <c r="R193" s="1">
        <v>0.9</v>
      </c>
    </row>
    <row r="194" spans="1:18" ht="75" x14ac:dyDescent="0.25">
      <c r="A194" s="1" t="s">
        <v>621</v>
      </c>
      <c r="B194" s="1" t="s">
        <v>12</v>
      </c>
      <c r="C194" s="1" t="s">
        <v>6</v>
      </c>
      <c r="D194" s="1" t="s">
        <v>17</v>
      </c>
      <c r="E194" s="1" t="s">
        <v>604</v>
      </c>
      <c r="F194" s="1" t="s">
        <v>604</v>
      </c>
      <c r="G194" s="1" t="s">
        <v>613</v>
      </c>
      <c r="H194" s="1" t="s">
        <v>612</v>
      </c>
      <c r="I194" s="1" t="s">
        <v>614</v>
      </c>
      <c r="J194" s="1" t="s">
        <v>615</v>
      </c>
      <c r="M194" s="2" t="str">
        <f t="shared" ca="1" si="2"/>
        <v>A</v>
      </c>
      <c r="N194" s="1" t="s">
        <v>616</v>
      </c>
      <c r="O194" s="1" t="s">
        <v>442</v>
      </c>
      <c r="P194" s="1" t="s">
        <v>610</v>
      </c>
      <c r="Q194" s="1">
        <v>102</v>
      </c>
      <c r="R194" s="1">
        <v>0.8</v>
      </c>
    </row>
    <row r="195" spans="1:18" ht="75" x14ac:dyDescent="0.25">
      <c r="A195" s="1" t="s">
        <v>622</v>
      </c>
      <c r="B195" s="1" t="s">
        <v>12</v>
      </c>
      <c r="C195" s="1" t="s">
        <v>6</v>
      </c>
      <c r="D195" s="1" t="s">
        <v>17</v>
      </c>
      <c r="E195" s="1" t="s">
        <v>604</v>
      </c>
      <c r="F195" s="1" t="s">
        <v>604</v>
      </c>
      <c r="G195" s="1" t="s">
        <v>613</v>
      </c>
      <c r="H195" s="1" t="s">
        <v>614</v>
      </c>
      <c r="I195" s="1" t="s">
        <v>612</v>
      </c>
      <c r="J195" s="1" t="s">
        <v>615</v>
      </c>
      <c r="M195" s="2" t="str">
        <f t="shared" ref="M195:M258" ca="1" si="3">CHAR(RANDBETWEEN(65,68))</f>
        <v>D</v>
      </c>
      <c r="N195" s="1" t="s">
        <v>616</v>
      </c>
      <c r="O195" s="1" t="s">
        <v>442</v>
      </c>
      <c r="P195" s="1" t="s">
        <v>610</v>
      </c>
      <c r="Q195" s="1">
        <v>109</v>
      </c>
      <c r="R195" s="1">
        <v>0.6</v>
      </c>
    </row>
    <row r="196" spans="1:18" ht="75" x14ac:dyDescent="0.25">
      <c r="A196" s="1" t="s">
        <v>623</v>
      </c>
      <c r="B196" s="1" t="s">
        <v>12</v>
      </c>
      <c r="C196" s="1" t="s">
        <v>6</v>
      </c>
      <c r="D196" s="1" t="s">
        <v>17</v>
      </c>
      <c r="E196" s="1" t="s">
        <v>604</v>
      </c>
      <c r="F196" s="1" t="s">
        <v>604</v>
      </c>
      <c r="G196" s="1" t="s">
        <v>615</v>
      </c>
      <c r="H196" s="1" t="s">
        <v>612</v>
      </c>
      <c r="I196" s="1" t="s">
        <v>613</v>
      </c>
      <c r="J196" s="1" t="s">
        <v>614</v>
      </c>
      <c r="M196" s="2" t="str">
        <f t="shared" ca="1" si="3"/>
        <v>B</v>
      </c>
      <c r="N196" s="1" t="s">
        <v>616</v>
      </c>
      <c r="O196" s="1" t="s">
        <v>413</v>
      </c>
      <c r="P196" s="1" t="s">
        <v>610</v>
      </c>
      <c r="Q196" s="1">
        <v>134</v>
      </c>
      <c r="R196" s="1">
        <v>1</v>
      </c>
    </row>
    <row r="197" spans="1:18" ht="75" x14ac:dyDescent="0.25">
      <c r="A197" s="1" t="s">
        <v>624</v>
      </c>
      <c r="B197" s="1" t="s">
        <v>12</v>
      </c>
      <c r="C197" s="1" t="s">
        <v>6</v>
      </c>
      <c r="D197" s="1" t="s">
        <v>17</v>
      </c>
      <c r="E197" s="1" t="s">
        <v>604</v>
      </c>
      <c r="F197" s="1" t="s">
        <v>604</v>
      </c>
      <c r="G197" s="1" t="s">
        <v>613</v>
      </c>
      <c r="H197" s="1" t="s">
        <v>614</v>
      </c>
      <c r="I197" s="1" t="s">
        <v>615</v>
      </c>
      <c r="J197" s="1" t="s">
        <v>612</v>
      </c>
      <c r="M197" s="2" t="str">
        <f t="shared" ca="1" si="3"/>
        <v>B</v>
      </c>
      <c r="N197" s="1" t="s">
        <v>616</v>
      </c>
      <c r="O197" s="1" t="s">
        <v>442</v>
      </c>
      <c r="P197" s="1" t="s">
        <v>610</v>
      </c>
      <c r="Q197" s="1">
        <v>156</v>
      </c>
      <c r="R197" s="1">
        <v>0.8</v>
      </c>
    </row>
    <row r="198" spans="1:18" ht="60" x14ac:dyDescent="0.25">
      <c r="A198" s="1" t="s">
        <v>625</v>
      </c>
      <c r="B198" s="1" t="s">
        <v>12</v>
      </c>
      <c r="C198" s="1" t="s">
        <v>6</v>
      </c>
      <c r="D198" s="1" t="s">
        <v>17</v>
      </c>
      <c r="E198" s="1" t="s">
        <v>626</v>
      </c>
      <c r="F198" s="1" t="s">
        <v>626</v>
      </c>
      <c r="G198" s="1" t="s">
        <v>630</v>
      </c>
      <c r="H198" s="1" t="s">
        <v>627</v>
      </c>
      <c r="I198" s="1" t="s">
        <v>628</v>
      </c>
      <c r="J198" s="1" t="s">
        <v>629</v>
      </c>
      <c r="M198" s="2" t="str">
        <f t="shared" ca="1" si="3"/>
        <v>B</v>
      </c>
      <c r="N198" s="1" t="s">
        <v>631</v>
      </c>
      <c r="O198" s="1" t="s">
        <v>413</v>
      </c>
      <c r="P198" s="1" t="s">
        <v>632</v>
      </c>
      <c r="Q198" s="1">
        <v>153</v>
      </c>
      <c r="R198" s="1">
        <v>0.7</v>
      </c>
    </row>
    <row r="199" spans="1:18" ht="60" x14ac:dyDescent="0.25">
      <c r="A199" s="1" t="s">
        <v>633</v>
      </c>
      <c r="B199" s="1" t="s">
        <v>12</v>
      </c>
      <c r="C199" s="1" t="s">
        <v>6</v>
      </c>
      <c r="D199" s="1" t="s">
        <v>17</v>
      </c>
      <c r="E199" s="1" t="s">
        <v>626</v>
      </c>
      <c r="F199" s="1" t="s">
        <v>626</v>
      </c>
      <c r="G199" s="1" t="s">
        <v>629</v>
      </c>
      <c r="H199" s="1" t="s">
        <v>630</v>
      </c>
      <c r="I199" s="1" t="s">
        <v>627</v>
      </c>
      <c r="J199" s="1" t="s">
        <v>628</v>
      </c>
      <c r="M199" s="2" t="str">
        <f t="shared" ca="1" si="3"/>
        <v>A</v>
      </c>
      <c r="N199" s="1" t="s">
        <v>631</v>
      </c>
      <c r="O199" s="1" t="s">
        <v>413</v>
      </c>
      <c r="P199" s="1" t="s">
        <v>632</v>
      </c>
      <c r="Q199" s="1">
        <v>65</v>
      </c>
      <c r="R199" s="1">
        <v>0.8</v>
      </c>
    </row>
    <row r="200" spans="1:18" ht="60" x14ac:dyDescent="0.25">
      <c r="A200" s="1" t="s">
        <v>634</v>
      </c>
      <c r="B200" s="1" t="s">
        <v>12</v>
      </c>
      <c r="C200" s="1" t="s">
        <v>6</v>
      </c>
      <c r="D200" s="1" t="s">
        <v>17</v>
      </c>
      <c r="E200" s="1" t="s">
        <v>626</v>
      </c>
      <c r="F200" s="1" t="s">
        <v>626</v>
      </c>
      <c r="G200" s="1" t="s">
        <v>629</v>
      </c>
      <c r="H200" s="1" t="s">
        <v>630</v>
      </c>
      <c r="I200" s="1" t="s">
        <v>628</v>
      </c>
      <c r="J200" s="1" t="s">
        <v>627</v>
      </c>
      <c r="M200" s="2" t="str">
        <f t="shared" ca="1" si="3"/>
        <v>D</v>
      </c>
      <c r="N200" s="1" t="s">
        <v>631</v>
      </c>
      <c r="O200" s="1" t="s">
        <v>442</v>
      </c>
      <c r="P200" s="1" t="s">
        <v>632</v>
      </c>
      <c r="Q200" s="1">
        <v>141</v>
      </c>
      <c r="R200" s="1">
        <v>0.8</v>
      </c>
    </row>
    <row r="201" spans="1:18" ht="60" x14ac:dyDescent="0.25">
      <c r="A201" s="1" t="s">
        <v>635</v>
      </c>
      <c r="B201" s="1" t="s">
        <v>12</v>
      </c>
      <c r="C201" s="1" t="s">
        <v>6</v>
      </c>
      <c r="D201" s="1" t="s">
        <v>17</v>
      </c>
      <c r="E201" s="1" t="s">
        <v>626</v>
      </c>
      <c r="F201" s="1" t="s">
        <v>626</v>
      </c>
      <c r="G201" s="1" t="s">
        <v>629</v>
      </c>
      <c r="H201" s="1" t="s">
        <v>630</v>
      </c>
      <c r="I201" s="1" t="s">
        <v>628</v>
      </c>
      <c r="J201" s="1" t="s">
        <v>627</v>
      </c>
      <c r="M201" s="2" t="str">
        <f t="shared" ca="1" si="3"/>
        <v>B</v>
      </c>
      <c r="N201" s="1" t="s">
        <v>631</v>
      </c>
      <c r="O201" s="1" t="s">
        <v>413</v>
      </c>
      <c r="P201" s="1" t="s">
        <v>632</v>
      </c>
      <c r="Q201" s="1">
        <v>157</v>
      </c>
      <c r="R201" s="1">
        <v>0.7</v>
      </c>
    </row>
    <row r="202" spans="1:18" ht="60" x14ac:dyDescent="0.25">
      <c r="A202" s="1" t="s">
        <v>636</v>
      </c>
      <c r="B202" s="1" t="s">
        <v>12</v>
      </c>
      <c r="C202" s="1" t="s">
        <v>6</v>
      </c>
      <c r="D202" s="1" t="s">
        <v>17</v>
      </c>
      <c r="E202" s="1" t="s">
        <v>626</v>
      </c>
      <c r="F202" s="1" t="s">
        <v>626</v>
      </c>
      <c r="G202" s="1" t="s">
        <v>629</v>
      </c>
      <c r="H202" s="1" t="s">
        <v>627</v>
      </c>
      <c r="I202" s="1" t="s">
        <v>628</v>
      </c>
      <c r="J202" s="1" t="s">
        <v>630</v>
      </c>
      <c r="M202" s="2" t="str">
        <f t="shared" ca="1" si="3"/>
        <v>D</v>
      </c>
      <c r="N202" s="1" t="s">
        <v>631</v>
      </c>
      <c r="O202" s="1" t="s">
        <v>413</v>
      </c>
      <c r="P202" s="1" t="s">
        <v>632</v>
      </c>
      <c r="Q202" s="1">
        <v>145</v>
      </c>
      <c r="R202" s="1">
        <v>1</v>
      </c>
    </row>
    <row r="203" spans="1:18" ht="60" x14ac:dyDescent="0.25">
      <c r="A203" s="1" t="s">
        <v>637</v>
      </c>
      <c r="B203" s="1" t="s">
        <v>12</v>
      </c>
      <c r="C203" s="1" t="s">
        <v>6</v>
      </c>
      <c r="D203" s="1" t="s">
        <v>17</v>
      </c>
      <c r="E203" s="1" t="s">
        <v>626</v>
      </c>
      <c r="F203" s="1" t="s">
        <v>626</v>
      </c>
      <c r="G203" s="1" t="s">
        <v>629</v>
      </c>
      <c r="H203" s="1" t="s">
        <v>630</v>
      </c>
      <c r="I203" s="1" t="s">
        <v>628</v>
      </c>
      <c r="J203" s="1" t="s">
        <v>627</v>
      </c>
      <c r="M203" s="2" t="str">
        <f t="shared" ca="1" si="3"/>
        <v>B</v>
      </c>
      <c r="N203" s="1" t="s">
        <v>631</v>
      </c>
      <c r="O203" s="1" t="s">
        <v>442</v>
      </c>
      <c r="P203" s="1" t="s">
        <v>632</v>
      </c>
      <c r="Q203" s="1">
        <v>165</v>
      </c>
      <c r="R203" s="1">
        <v>0.9</v>
      </c>
    </row>
    <row r="204" spans="1:18" ht="60" x14ac:dyDescent="0.25">
      <c r="A204" s="1" t="s">
        <v>638</v>
      </c>
      <c r="B204" s="1" t="s">
        <v>12</v>
      </c>
      <c r="C204" s="1" t="s">
        <v>6</v>
      </c>
      <c r="D204" s="1" t="s">
        <v>17</v>
      </c>
      <c r="E204" s="1" t="s">
        <v>626</v>
      </c>
      <c r="F204" s="1" t="s">
        <v>626</v>
      </c>
      <c r="G204" s="1" t="s">
        <v>628</v>
      </c>
      <c r="H204" s="1" t="s">
        <v>627</v>
      </c>
      <c r="I204" s="1" t="s">
        <v>629</v>
      </c>
      <c r="J204" s="1" t="s">
        <v>630</v>
      </c>
      <c r="M204" s="2" t="str">
        <f t="shared" ca="1" si="3"/>
        <v>B</v>
      </c>
      <c r="N204" s="1" t="s">
        <v>631</v>
      </c>
      <c r="O204" s="1" t="s">
        <v>413</v>
      </c>
      <c r="P204" s="1" t="s">
        <v>632</v>
      </c>
      <c r="Q204" s="1">
        <v>112</v>
      </c>
      <c r="R204" s="1">
        <v>0.9</v>
      </c>
    </row>
    <row r="205" spans="1:18" ht="60" x14ac:dyDescent="0.25">
      <c r="A205" s="1" t="s">
        <v>639</v>
      </c>
      <c r="B205" s="1" t="s">
        <v>12</v>
      </c>
      <c r="C205" s="1" t="s">
        <v>6</v>
      </c>
      <c r="D205" s="1" t="s">
        <v>17</v>
      </c>
      <c r="E205" s="1" t="s">
        <v>626</v>
      </c>
      <c r="F205" s="1" t="s">
        <v>626</v>
      </c>
      <c r="G205" s="1" t="s">
        <v>630</v>
      </c>
      <c r="H205" s="1" t="s">
        <v>628</v>
      </c>
      <c r="I205" s="1" t="s">
        <v>627</v>
      </c>
      <c r="J205" s="1" t="s">
        <v>629</v>
      </c>
      <c r="M205" s="2" t="str">
        <f t="shared" ca="1" si="3"/>
        <v>C</v>
      </c>
      <c r="N205" s="1" t="s">
        <v>631</v>
      </c>
      <c r="O205" s="1" t="s">
        <v>413</v>
      </c>
      <c r="P205" s="1" t="s">
        <v>632</v>
      </c>
      <c r="Q205" s="1">
        <v>112</v>
      </c>
      <c r="R205" s="1">
        <v>0.8</v>
      </c>
    </row>
    <row r="206" spans="1:18" ht="60" x14ac:dyDescent="0.25">
      <c r="A206" s="1" t="s">
        <v>640</v>
      </c>
      <c r="B206" s="1" t="s">
        <v>12</v>
      </c>
      <c r="C206" s="1" t="s">
        <v>6</v>
      </c>
      <c r="D206" s="1" t="s">
        <v>17</v>
      </c>
      <c r="E206" s="1" t="s">
        <v>626</v>
      </c>
      <c r="F206" s="1" t="s">
        <v>626</v>
      </c>
      <c r="G206" s="1" t="s">
        <v>627</v>
      </c>
      <c r="H206" s="1" t="s">
        <v>629</v>
      </c>
      <c r="I206" s="1" t="s">
        <v>628</v>
      </c>
      <c r="J206" s="1" t="s">
        <v>630</v>
      </c>
      <c r="M206" s="2" t="str">
        <f t="shared" ca="1" si="3"/>
        <v>B</v>
      </c>
      <c r="N206" s="1" t="s">
        <v>631</v>
      </c>
      <c r="O206" s="1" t="s">
        <v>421</v>
      </c>
      <c r="P206" s="1" t="s">
        <v>632</v>
      </c>
      <c r="Q206" s="1">
        <v>89</v>
      </c>
      <c r="R206" s="1">
        <v>0.9</v>
      </c>
    </row>
    <row r="207" spans="1:18" ht="60" x14ac:dyDescent="0.25">
      <c r="A207" s="1" t="s">
        <v>641</v>
      </c>
      <c r="B207" s="1" t="s">
        <v>12</v>
      </c>
      <c r="C207" s="1" t="s">
        <v>6</v>
      </c>
      <c r="D207" s="1" t="s">
        <v>17</v>
      </c>
      <c r="E207" s="1" t="s">
        <v>626</v>
      </c>
      <c r="F207" s="1" t="s">
        <v>626</v>
      </c>
      <c r="G207" s="1" t="s">
        <v>629</v>
      </c>
      <c r="H207" s="1" t="s">
        <v>630</v>
      </c>
      <c r="I207" s="1" t="s">
        <v>627</v>
      </c>
      <c r="J207" s="1" t="s">
        <v>628</v>
      </c>
      <c r="M207" s="2" t="str">
        <f t="shared" ca="1" si="3"/>
        <v>B</v>
      </c>
      <c r="N207" s="1" t="s">
        <v>631</v>
      </c>
      <c r="O207" s="1" t="s">
        <v>442</v>
      </c>
      <c r="P207" s="1" t="s">
        <v>632</v>
      </c>
      <c r="Q207" s="1">
        <v>135</v>
      </c>
      <c r="R207" s="1">
        <v>0.7</v>
      </c>
    </row>
    <row r="208" spans="1:18" ht="60" x14ac:dyDescent="0.25">
      <c r="A208" s="1" t="s">
        <v>642</v>
      </c>
      <c r="B208" s="1" t="s">
        <v>12</v>
      </c>
      <c r="C208" s="1" t="s">
        <v>6</v>
      </c>
      <c r="D208" s="1" t="s">
        <v>18</v>
      </c>
      <c r="E208" s="1" t="s">
        <v>643</v>
      </c>
      <c r="F208" s="1" t="s">
        <v>643</v>
      </c>
      <c r="G208" s="1" t="s">
        <v>644</v>
      </c>
      <c r="H208" s="1" t="s">
        <v>646</v>
      </c>
      <c r="I208" s="1" t="s">
        <v>645</v>
      </c>
      <c r="J208" s="1" t="s">
        <v>647</v>
      </c>
      <c r="M208" s="2" t="str">
        <f t="shared" ca="1" si="3"/>
        <v>C</v>
      </c>
      <c r="N208" s="1" t="s">
        <v>648</v>
      </c>
      <c r="O208" s="1" t="s">
        <v>413</v>
      </c>
      <c r="P208" s="1" t="s">
        <v>649</v>
      </c>
      <c r="Q208" s="1">
        <v>132</v>
      </c>
      <c r="R208" s="1">
        <v>0.8</v>
      </c>
    </row>
    <row r="209" spans="1:18" ht="90" x14ac:dyDescent="0.25">
      <c r="A209" s="1" t="s">
        <v>650</v>
      </c>
      <c r="B209" s="1" t="s">
        <v>12</v>
      </c>
      <c r="C209" s="1" t="s">
        <v>6</v>
      </c>
      <c r="D209" s="1" t="s">
        <v>18</v>
      </c>
      <c r="E209" s="1" t="s">
        <v>643</v>
      </c>
      <c r="F209" s="1" t="s">
        <v>643</v>
      </c>
      <c r="G209" s="1" t="s">
        <v>651</v>
      </c>
      <c r="H209" s="1" t="s">
        <v>654</v>
      </c>
      <c r="I209" s="1" t="s">
        <v>653</v>
      </c>
      <c r="J209" s="1" t="s">
        <v>652</v>
      </c>
      <c r="M209" s="2" t="str">
        <f t="shared" ca="1" si="3"/>
        <v>D</v>
      </c>
      <c r="N209" s="1" t="s">
        <v>655</v>
      </c>
      <c r="O209" s="1" t="s">
        <v>413</v>
      </c>
      <c r="P209" s="1" t="s">
        <v>649</v>
      </c>
      <c r="Q209" s="1">
        <v>79</v>
      </c>
      <c r="R209" s="1">
        <v>0.8</v>
      </c>
    </row>
    <row r="210" spans="1:18" ht="75" x14ac:dyDescent="0.25">
      <c r="A210" s="1" t="s">
        <v>656</v>
      </c>
      <c r="B210" s="1" t="s">
        <v>12</v>
      </c>
      <c r="C210" s="1" t="s">
        <v>6</v>
      </c>
      <c r="D210" s="1" t="s">
        <v>18</v>
      </c>
      <c r="E210" s="1" t="s">
        <v>643</v>
      </c>
      <c r="F210" s="1" t="s">
        <v>643</v>
      </c>
      <c r="G210" s="1" t="s">
        <v>660</v>
      </c>
      <c r="H210" s="1" t="s">
        <v>659</v>
      </c>
      <c r="I210" s="1" t="s">
        <v>658</v>
      </c>
      <c r="J210" s="1" t="s">
        <v>657</v>
      </c>
      <c r="M210" s="2" t="str">
        <f t="shared" ca="1" si="3"/>
        <v>D</v>
      </c>
      <c r="N210" s="1" t="s">
        <v>661</v>
      </c>
      <c r="O210" s="1" t="s">
        <v>413</v>
      </c>
      <c r="P210" s="1" t="s">
        <v>649</v>
      </c>
      <c r="Q210" s="1">
        <v>114</v>
      </c>
      <c r="R210" s="1">
        <v>1</v>
      </c>
    </row>
    <row r="211" spans="1:18" ht="75" x14ac:dyDescent="0.25">
      <c r="A211" s="1" t="s">
        <v>662</v>
      </c>
      <c r="B211" s="1" t="s">
        <v>12</v>
      </c>
      <c r="C211" s="1" t="s">
        <v>6</v>
      </c>
      <c r="D211" s="1" t="s">
        <v>18</v>
      </c>
      <c r="E211" s="1" t="s">
        <v>643</v>
      </c>
      <c r="F211" s="1" t="s">
        <v>643</v>
      </c>
      <c r="G211" s="1" t="s">
        <v>658</v>
      </c>
      <c r="H211" s="1" t="s">
        <v>659</v>
      </c>
      <c r="I211" s="1" t="s">
        <v>660</v>
      </c>
      <c r="J211" s="1" t="s">
        <v>657</v>
      </c>
      <c r="M211" s="2" t="str">
        <f t="shared" ca="1" si="3"/>
        <v>D</v>
      </c>
      <c r="N211" s="1" t="s">
        <v>661</v>
      </c>
      <c r="O211" s="1" t="s">
        <v>442</v>
      </c>
      <c r="P211" s="1" t="s">
        <v>649</v>
      </c>
      <c r="Q211" s="1">
        <v>121</v>
      </c>
      <c r="R211" s="1">
        <v>0.7</v>
      </c>
    </row>
    <row r="212" spans="1:18" ht="60" x14ac:dyDescent="0.25">
      <c r="A212" s="1" t="s">
        <v>663</v>
      </c>
      <c r="B212" s="1" t="s">
        <v>12</v>
      </c>
      <c r="C212" s="1" t="s">
        <v>6</v>
      </c>
      <c r="D212" s="1" t="s">
        <v>18</v>
      </c>
      <c r="E212" s="1" t="s">
        <v>643</v>
      </c>
      <c r="F212" s="1" t="s">
        <v>643</v>
      </c>
      <c r="G212" s="1" t="s">
        <v>660</v>
      </c>
      <c r="H212" s="1" t="s">
        <v>658</v>
      </c>
      <c r="I212" s="1" t="s">
        <v>659</v>
      </c>
      <c r="J212" s="1" t="s">
        <v>657</v>
      </c>
      <c r="M212" s="2" t="str">
        <f t="shared" ca="1" si="3"/>
        <v>C</v>
      </c>
      <c r="N212" s="1" t="s">
        <v>661</v>
      </c>
      <c r="O212" s="1" t="s">
        <v>413</v>
      </c>
      <c r="P212" s="1" t="s">
        <v>649</v>
      </c>
      <c r="Q212" s="1">
        <v>64</v>
      </c>
      <c r="R212" s="1">
        <v>0.6</v>
      </c>
    </row>
    <row r="213" spans="1:18" ht="75" x14ac:dyDescent="0.25">
      <c r="A213" s="1" t="s">
        <v>664</v>
      </c>
      <c r="B213" s="1" t="s">
        <v>12</v>
      </c>
      <c r="C213" s="1" t="s">
        <v>6</v>
      </c>
      <c r="D213" s="1" t="s">
        <v>18</v>
      </c>
      <c r="E213" s="1" t="s">
        <v>643</v>
      </c>
      <c r="F213" s="1" t="s">
        <v>643</v>
      </c>
      <c r="G213" s="1" t="s">
        <v>659</v>
      </c>
      <c r="H213" s="1" t="s">
        <v>660</v>
      </c>
      <c r="I213" s="1" t="s">
        <v>657</v>
      </c>
      <c r="J213" s="1" t="s">
        <v>658</v>
      </c>
      <c r="M213" s="2" t="str">
        <f t="shared" ca="1" si="3"/>
        <v>D</v>
      </c>
      <c r="N213" s="1" t="s">
        <v>661</v>
      </c>
      <c r="O213" s="1" t="s">
        <v>413</v>
      </c>
      <c r="P213" s="1" t="s">
        <v>649</v>
      </c>
      <c r="Q213" s="1">
        <v>139</v>
      </c>
      <c r="R213" s="1">
        <v>0.7</v>
      </c>
    </row>
    <row r="214" spans="1:18" ht="75" x14ac:dyDescent="0.25">
      <c r="A214" s="1" t="s">
        <v>665</v>
      </c>
      <c r="B214" s="1" t="s">
        <v>12</v>
      </c>
      <c r="C214" s="1" t="s">
        <v>6</v>
      </c>
      <c r="D214" s="1" t="s">
        <v>18</v>
      </c>
      <c r="E214" s="1" t="s">
        <v>643</v>
      </c>
      <c r="F214" s="1" t="s">
        <v>643</v>
      </c>
      <c r="G214" s="1" t="s">
        <v>657</v>
      </c>
      <c r="H214" s="1" t="s">
        <v>660</v>
      </c>
      <c r="I214" s="1" t="s">
        <v>659</v>
      </c>
      <c r="J214" s="1" t="s">
        <v>658</v>
      </c>
      <c r="M214" s="2" t="str">
        <f t="shared" ca="1" si="3"/>
        <v>B</v>
      </c>
      <c r="N214" s="1" t="s">
        <v>661</v>
      </c>
      <c r="O214" s="1" t="s">
        <v>442</v>
      </c>
      <c r="P214" s="1" t="s">
        <v>649</v>
      </c>
      <c r="Q214" s="1">
        <v>122</v>
      </c>
      <c r="R214" s="1">
        <v>0.9</v>
      </c>
    </row>
    <row r="215" spans="1:18" ht="60" x14ac:dyDescent="0.25">
      <c r="A215" s="1" t="s">
        <v>666</v>
      </c>
      <c r="B215" s="1" t="s">
        <v>12</v>
      </c>
      <c r="C215" s="1" t="s">
        <v>6</v>
      </c>
      <c r="D215" s="1" t="s">
        <v>18</v>
      </c>
      <c r="E215" s="1" t="s">
        <v>643</v>
      </c>
      <c r="F215" s="1" t="s">
        <v>643</v>
      </c>
      <c r="G215" s="1" t="s">
        <v>659</v>
      </c>
      <c r="H215" s="1" t="s">
        <v>658</v>
      </c>
      <c r="I215" s="1" t="s">
        <v>657</v>
      </c>
      <c r="J215" s="1" t="s">
        <v>660</v>
      </c>
      <c r="M215" s="2" t="str">
        <f t="shared" ca="1" si="3"/>
        <v>D</v>
      </c>
      <c r="N215" s="1" t="s">
        <v>661</v>
      </c>
      <c r="O215" s="1" t="s">
        <v>413</v>
      </c>
      <c r="P215" s="1" t="s">
        <v>649</v>
      </c>
      <c r="Q215" s="1">
        <v>179</v>
      </c>
      <c r="R215" s="1">
        <v>0.7</v>
      </c>
    </row>
    <row r="216" spans="1:18" ht="75" x14ac:dyDescent="0.25">
      <c r="A216" s="1" t="s">
        <v>667</v>
      </c>
      <c r="B216" s="1" t="s">
        <v>12</v>
      </c>
      <c r="C216" s="1" t="s">
        <v>6</v>
      </c>
      <c r="D216" s="1" t="s">
        <v>18</v>
      </c>
      <c r="E216" s="1" t="s">
        <v>643</v>
      </c>
      <c r="F216" s="1" t="s">
        <v>643</v>
      </c>
      <c r="G216" s="1" t="s">
        <v>658</v>
      </c>
      <c r="H216" s="1" t="s">
        <v>657</v>
      </c>
      <c r="I216" s="1" t="s">
        <v>660</v>
      </c>
      <c r="J216" s="1" t="s">
        <v>659</v>
      </c>
      <c r="M216" s="2" t="str">
        <f t="shared" ca="1" si="3"/>
        <v>D</v>
      </c>
      <c r="N216" s="1" t="s">
        <v>661</v>
      </c>
      <c r="O216" s="1" t="s">
        <v>442</v>
      </c>
      <c r="P216" s="1" t="s">
        <v>649</v>
      </c>
      <c r="Q216" s="1">
        <v>115</v>
      </c>
      <c r="R216" s="1">
        <v>0.6</v>
      </c>
    </row>
    <row r="217" spans="1:18" ht="75" x14ac:dyDescent="0.25">
      <c r="A217" s="1" t="s">
        <v>668</v>
      </c>
      <c r="B217" s="1" t="s">
        <v>12</v>
      </c>
      <c r="C217" s="1" t="s">
        <v>6</v>
      </c>
      <c r="D217" s="1" t="s">
        <v>18</v>
      </c>
      <c r="E217" s="1" t="s">
        <v>643</v>
      </c>
      <c r="F217" s="1" t="s">
        <v>643</v>
      </c>
      <c r="G217" s="1" t="s">
        <v>658</v>
      </c>
      <c r="H217" s="1" t="s">
        <v>657</v>
      </c>
      <c r="I217" s="1" t="s">
        <v>659</v>
      </c>
      <c r="J217" s="1" t="s">
        <v>660</v>
      </c>
      <c r="M217" s="2" t="str">
        <f t="shared" ca="1" si="3"/>
        <v>B</v>
      </c>
      <c r="N217" s="1" t="s">
        <v>661</v>
      </c>
      <c r="O217" s="1" t="s">
        <v>413</v>
      </c>
      <c r="P217" s="1" t="s">
        <v>649</v>
      </c>
      <c r="Q217" s="1">
        <v>120</v>
      </c>
      <c r="R217" s="1">
        <v>0.7</v>
      </c>
    </row>
    <row r="218" spans="1:18" ht="75" x14ac:dyDescent="0.25">
      <c r="A218" s="1" t="s">
        <v>669</v>
      </c>
      <c r="B218" s="1" t="s">
        <v>12</v>
      </c>
      <c r="C218" s="1" t="s">
        <v>6</v>
      </c>
      <c r="D218" s="1" t="s">
        <v>18</v>
      </c>
      <c r="E218" s="1" t="s">
        <v>670</v>
      </c>
      <c r="F218" s="1" t="s">
        <v>670</v>
      </c>
      <c r="G218" s="1" t="s">
        <v>671</v>
      </c>
      <c r="H218" s="1" t="s">
        <v>673</v>
      </c>
      <c r="I218" s="1" t="s">
        <v>672</v>
      </c>
      <c r="J218" s="1" t="s">
        <v>674</v>
      </c>
      <c r="M218" s="2" t="str">
        <f t="shared" ca="1" si="3"/>
        <v>B</v>
      </c>
      <c r="N218" s="1" t="s">
        <v>675</v>
      </c>
      <c r="O218" s="1" t="s">
        <v>421</v>
      </c>
      <c r="P218" s="1" t="s">
        <v>676</v>
      </c>
      <c r="Q218" s="1">
        <v>136</v>
      </c>
      <c r="R218" s="1">
        <v>0.9</v>
      </c>
    </row>
    <row r="219" spans="1:18" ht="75" x14ac:dyDescent="0.25">
      <c r="A219" s="1" t="s">
        <v>677</v>
      </c>
      <c r="B219" s="1" t="s">
        <v>12</v>
      </c>
      <c r="C219" s="1" t="s">
        <v>6</v>
      </c>
      <c r="D219" s="1" t="s">
        <v>18</v>
      </c>
      <c r="E219" s="1" t="s">
        <v>670</v>
      </c>
      <c r="F219" s="1" t="s">
        <v>670</v>
      </c>
      <c r="G219" s="1" t="s">
        <v>673</v>
      </c>
      <c r="H219" s="1" t="s">
        <v>671</v>
      </c>
      <c r="I219" s="1" t="s">
        <v>674</v>
      </c>
      <c r="J219" s="1" t="s">
        <v>672</v>
      </c>
      <c r="M219" s="2" t="str">
        <f t="shared" ca="1" si="3"/>
        <v>A</v>
      </c>
      <c r="N219" s="1" t="s">
        <v>675</v>
      </c>
      <c r="O219" s="1" t="s">
        <v>421</v>
      </c>
      <c r="P219" s="1" t="s">
        <v>676</v>
      </c>
      <c r="Q219" s="1">
        <v>117</v>
      </c>
      <c r="R219" s="1">
        <v>0.8</v>
      </c>
    </row>
    <row r="220" spans="1:18" ht="75" x14ac:dyDescent="0.25">
      <c r="A220" s="1" t="s">
        <v>678</v>
      </c>
      <c r="B220" s="1" t="s">
        <v>12</v>
      </c>
      <c r="C220" s="1" t="s">
        <v>6</v>
      </c>
      <c r="D220" s="1" t="s">
        <v>18</v>
      </c>
      <c r="E220" s="1" t="s">
        <v>670</v>
      </c>
      <c r="F220" s="1" t="s">
        <v>670</v>
      </c>
      <c r="G220" s="1" t="s">
        <v>673</v>
      </c>
      <c r="H220" s="1" t="s">
        <v>671</v>
      </c>
      <c r="I220" s="1" t="s">
        <v>674</v>
      </c>
      <c r="J220" s="1" t="s">
        <v>672</v>
      </c>
      <c r="M220" s="2" t="str">
        <f t="shared" ca="1" si="3"/>
        <v>B</v>
      </c>
      <c r="N220" s="1" t="s">
        <v>675</v>
      </c>
      <c r="O220" s="1" t="s">
        <v>442</v>
      </c>
      <c r="P220" s="1" t="s">
        <v>676</v>
      </c>
      <c r="Q220" s="1">
        <v>79</v>
      </c>
      <c r="R220" s="1">
        <v>0.9</v>
      </c>
    </row>
    <row r="221" spans="1:18" ht="75" x14ac:dyDescent="0.25">
      <c r="A221" s="1" t="s">
        <v>679</v>
      </c>
      <c r="B221" s="1" t="s">
        <v>12</v>
      </c>
      <c r="C221" s="1" t="s">
        <v>6</v>
      </c>
      <c r="D221" s="1" t="s">
        <v>18</v>
      </c>
      <c r="E221" s="1" t="s">
        <v>670</v>
      </c>
      <c r="F221" s="1" t="s">
        <v>670</v>
      </c>
      <c r="G221" s="1" t="s">
        <v>674</v>
      </c>
      <c r="H221" s="1" t="s">
        <v>671</v>
      </c>
      <c r="I221" s="1" t="s">
        <v>673</v>
      </c>
      <c r="J221" s="1" t="s">
        <v>672</v>
      </c>
      <c r="M221" s="2" t="str">
        <f t="shared" ca="1" si="3"/>
        <v>C</v>
      </c>
      <c r="N221" s="1" t="s">
        <v>675</v>
      </c>
      <c r="O221" s="1" t="s">
        <v>421</v>
      </c>
      <c r="P221" s="1" t="s">
        <v>676</v>
      </c>
      <c r="Q221" s="1">
        <v>93</v>
      </c>
      <c r="R221" s="1">
        <v>0.6</v>
      </c>
    </row>
    <row r="222" spans="1:18" ht="75" x14ac:dyDescent="0.25">
      <c r="A222" s="1" t="s">
        <v>680</v>
      </c>
      <c r="B222" s="1" t="s">
        <v>12</v>
      </c>
      <c r="C222" s="1" t="s">
        <v>6</v>
      </c>
      <c r="D222" s="1" t="s">
        <v>18</v>
      </c>
      <c r="E222" s="1" t="s">
        <v>670</v>
      </c>
      <c r="F222" s="1" t="s">
        <v>670</v>
      </c>
      <c r="G222" s="1" t="s">
        <v>671</v>
      </c>
      <c r="H222" s="1" t="s">
        <v>672</v>
      </c>
      <c r="I222" s="1" t="s">
        <v>674</v>
      </c>
      <c r="J222" s="1" t="s">
        <v>673</v>
      </c>
      <c r="M222" s="2" t="str">
        <f t="shared" ca="1" si="3"/>
        <v>A</v>
      </c>
      <c r="N222" s="1" t="s">
        <v>675</v>
      </c>
      <c r="O222" s="1" t="s">
        <v>413</v>
      </c>
      <c r="P222" s="1" t="s">
        <v>676</v>
      </c>
      <c r="Q222" s="1">
        <v>75</v>
      </c>
      <c r="R222" s="1">
        <v>0.6</v>
      </c>
    </row>
    <row r="223" spans="1:18" ht="75" x14ac:dyDescent="0.25">
      <c r="A223" s="1" t="s">
        <v>681</v>
      </c>
      <c r="B223" s="1" t="s">
        <v>12</v>
      </c>
      <c r="C223" s="1" t="s">
        <v>6</v>
      </c>
      <c r="D223" s="1" t="s">
        <v>18</v>
      </c>
      <c r="E223" s="1" t="s">
        <v>670</v>
      </c>
      <c r="F223" s="1" t="s">
        <v>670</v>
      </c>
      <c r="G223" s="1" t="s">
        <v>672</v>
      </c>
      <c r="H223" s="1" t="s">
        <v>674</v>
      </c>
      <c r="I223" s="1" t="s">
        <v>671</v>
      </c>
      <c r="J223" s="1" t="s">
        <v>673</v>
      </c>
      <c r="M223" s="2" t="str">
        <f t="shared" ca="1" si="3"/>
        <v>C</v>
      </c>
      <c r="N223" s="1" t="s">
        <v>675</v>
      </c>
      <c r="O223" s="1" t="s">
        <v>421</v>
      </c>
      <c r="P223" s="1" t="s">
        <v>676</v>
      </c>
      <c r="Q223" s="1">
        <v>151</v>
      </c>
      <c r="R223" s="1">
        <v>0.9</v>
      </c>
    </row>
    <row r="224" spans="1:18" ht="75" x14ac:dyDescent="0.25">
      <c r="A224" s="1" t="s">
        <v>682</v>
      </c>
      <c r="B224" s="1" t="s">
        <v>12</v>
      </c>
      <c r="C224" s="1" t="s">
        <v>6</v>
      </c>
      <c r="D224" s="1" t="s">
        <v>18</v>
      </c>
      <c r="E224" s="1" t="s">
        <v>670</v>
      </c>
      <c r="F224" s="1" t="s">
        <v>670</v>
      </c>
      <c r="G224" s="1" t="s">
        <v>672</v>
      </c>
      <c r="H224" s="1" t="s">
        <v>673</v>
      </c>
      <c r="I224" s="1" t="s">
        <v>671</v>
      </c>
      <c r="J224" s="1" t="s">
        <v>674</v>
      </c>
      <c r="M224" s="2" t="str">
        <f t="shared" ca="1" si="3"/>
        <v>B</v>
      </c>
      <c r="N224" s="1" t="s">
        <v>675</v>
      </c>
      <c r="O224" s="1" t="s">
        <v>421</v>
      </c>
      <c r="P224" s="1" t="s">
        <v>676</v>
      </c>
      <c r="Q224" s="1">
        <v>69</v>
      </c>
      <c r="R224" s="1">
        <v>0.7</v>
      </c>
    </row>
    <row r="225" spans="1:18" ht="75" x14ac:dyDescent="0.25">
      <c r="A225" s="1" t="s">
        <v>683</v>
      </c>
      <c r="B225" s="1" t="s">
        <v>12</v>
      </c>
      <c r="C225" s="1" t="s">
        <v>6</v>
      </c>
      <c r="D225" s="1" t="s">
        <v>18</v>
      </c>
      <c r="E225" s="1" t="s">
        <v>670</v>
      </c>
      <c r="F225" s="1" t="s">
        <v>670</v>
      </c>
      <c r="G225" s="1" t="s">
        <v>671</v>
      </c>
      <c r="H225" s="1" t="s">
        <v>673</v>
      </c>
      <c r="I225" s="1" t="s">
        <v>674</v>
      </c>
      <c r="J225" s="1" t="s">
        <v>672</v>
      </c>
      <c r="M225" s="2" t="str">
        <f t="shared" ca="1" si="3"/>
        <v>B</v>
      </c>
      <c r="N225" s="1" t="s">
        <v>675</v>
      </c>
      <c r="O225" s="1" t="s">
        <v>421</v>
      </c>
      <c r="P225" s="1" t="s">
        <v>676</v>
      </c>
      <c r="Q225" s="1">
        <v>176</v>
      </c>
      <c r="R225" s="1">
        <v>0.9</v>
      </c>
    </row>
    <row r="226" spans="1:18" ht="75" x14ac:dyDescent="0.25">
      <c r="A226" s="1" t="s">
        <v>684</v>
      </c>
      <c r="B226" s="1" t="s">
        <v>12</v>
      </c>
      <c r="C226" s="1" t="s">
        <v>6</v>
      </c>
      <c r="D226" s="1" t="s">
        <v>18</v>
      </c>
      <c r="E226" s="1" t="s">
        <v>670</v>
      </c>
      <c r="F226" s="1" t="s">
        <v>670</v>
      </c>
      <c r="G226" s="1" t="s">
        <v>673</v>
      </c>
      <c r="H226" s="1" t="s">
        <v>671</v>
      </c>
      <c r="I226" s="1" t="s">
        <v>672</v>
      </c>
      <c r="J226" s="1" t="s">
        <v>674</v>
      </c>
      <c r="M226" s="2" t="str">
        <f t="shared" ca="1" si="3"/>
        <v>B</v>
      </c>
      <c r="N226" s="1" t="s">
        <v>675</v>
      </c>
      <c r="O226" s="1" t="s">
        <v>413</v>
      </c>
      <c r="P226" s="1" t="s">
        <v>676</v>
      </c>
      <c r="Q226" s="1">
        <v>125</v>
      </c>
      <c r="R226" s="1">
        <v>0.9</v>
      </c>
    </row>
    <row r="227" spans="1:18" ht="75" x14ac:dyDescent="0.25">
      <c r="A227" s="1" t="s">
        <v>685</v>
      </c>
      <c r="B227" s="1" t="s">
        <v>12</v>
      </c>
      <c r="C227" s="1" t="s">
        <v>6</v>
      </c>
      <c r="D227" s="1" t="s">
        <v>18</v>
      </c>
      <c r="E227" s="1" t="s">
        <v>670</v>
      </c>
      <c r="F227" s="1" t="s">
        <v>670</v>
      </c>
      <c r="G227" s="1" t="s">
        <v>674</v>
      </c>
      <c r="H227" s="1" t="s">
        <v>672</v>
      </c>
      <c r="I227" s="1" t="s">
        <v>671</v>
      </c>
      <c r="J227" s="1" t="s">
        <v>673</v>
      </c>
      <c r="M227" s="2" t="str">
        <f t="shared" ca="1" si="3"/>
        <v>A</v>
      </c>
      <c r="N227" s="1" t="s">
        <v>675</v>
      </c>
      <c r="O227" s="1" t="s">
        <v>413</v>
      </c>
      <c r="P227" s="1" t="s">
        <v>676</v>
      </c>
      <c r="Q227" s="1">
        <v>133</v>
      </c>
      <c r="R227" s="1">
        <v>0.9</v>
      </c>
    </row>
    <row r="228" spans="1:18" ht="90" x14ac:dyDescent="0.25">
      <c r="A228" s="1" t="s">
        <v>686</v>
      </c>
      <c r="B228" s="1" t="s">
        <v>12</v>
      </c>
      <c r="C228" s="1" t="s">
        <v>6</v>
      </c>
      <c r="D228" s="1" t="s">
        <v>18</v>
      </c>
      <c r="E228" s="1" t="s">
        <v>687</v>
      </c>
      <c r="F228" s="1" t="s">
        <v>687</v>
      </c>
      <c r="G228" s="1" t="s">
        <v>689</v>
      </c>
      <c r="H228" s="1" t="s">
        <v>690</v>
      </c>
      <c r="I228" s="1" t="s">
        <v>688</v>
      </c>
      <c r="J228" s="1" t="s">
        <v>691</v>
      </c>
      <c r="M228" s="2" t="str">
        <f t="shared" ca="1" si="3"/>
        <v>B</v>
      </c>
      <c r="N228" s="1" t="s">
        <v>692</v>
      </c>
      <c r="O228" s="1" t="s">
        <v>413</v>
      </c>
      <c r="P228" s="1" t="s">
        <v>693</v>
      </c>
      <c r="Q228" s="1">
        <v>92</v>
      </c>
      <c r="R228" s="1">
        <v>0.8</v>
      </c>
    </row>
    <row r="229" spans="1:18" ht="105" x14ac:dyDescent="0.25">
      <c r="A229" s="1" t="s">
        <v>694</v>
      </c>
      <c r="B229" s="1" t="s">
        <v>12</v>
      </c>
      <c r="C229" s="1" t="s">
        <v>6</v>
      </c>
      <c r="D229" s="1" t="s">
        <v>18</v>
      </c>
      <c r="E229" s="1" t="s">
        <v>687</v>
      </c>
      <c r="F229" s="1" t="s">
        <v>687</v>
      </c>
      <c r="G229" s="1" t="s">
        <v>689</v>
      </c>
      <c r="H229" s="1" t="s">
        <v>688</v>
      </c>
      <c r="I229" s="1" t="s">
        <v>690</v>
      </c>
      <c r="J229" s="1" t="s">
        <v>691</v>
      </c>
      <c r="M229" s="2" t="str">
        <f t="shared" ca="1" si="3"/>
        <v>C</v>
      </c>
      <c r="N229" s="1" t="s">
        <v>692</v>
      </c>
      <c r="O229" s="1" t="s">
        <v>442</v>
      </c>
      <c r="P229" s="1" t="s">
        <v>693</v>
      </c>
      <c r="Q229" s="1">
        <v>154</v>
      </c>
      <c r="R229" s="1">
        <v>0.9</v>
      </c>
    </row>
    <row r="230" spans="1:18" ht="75" x14ac:dyDescent="0.25">
      <c r="A230" s="1" t="s">
        <v>695</v>
      </c>
      <c r="B230" s="1" t="s">
        <v>12</v>
      </c>
      <c r="C230" s="1" t="s">
        <v>6</v>
      </c>
      <c r="D230" s="1" t="s">
        <v>18</v>
      </c>
      <c r="E230" s="1" t="s">
        <v>687</v>
      </c>
      <c r="F230" s="1" t="s">
        <v>687</v>
      </c>
      <c r="G230" s="1" t="s">
        <v>697</v>
      </c>
      <c r="H230" s="1" t="s">
        <v>699</v>
      </c>
      <c r="I230" s="1" t="s">
        <v>698</v>
      </c>
      <c r="J230" s="1" t="s">
        <v>696</v>
      </c>
      <c r="M230" s="2" t="str">
        <f t="shared" ca="1" si="3"/>
        <v>B</v>
      </c>
      <c r="N230" s="1" t="s">
        <v>700</v>
      </c>
      <c r="O230" s="1" t="s">
        <v>413</v>
      </c>
      <c r="P230" s="1" t="s">
        <v>693</v>
      </c>
      <c r="Q230" s="1">
        <v>119</v>
      </c>
      <c r="R230" s="1">
        <v>0.8</v>
      </c>
    </row>
    <row r="231" spans="1:18" ht="105" x14ac:dyDescent="0.25">
      <c r="A231" s="1" t="s">
        <v>701</v>
      </c>
      <c r="B231" s="1" t="s">
        <v>12</v>
      </c>
      <c r="C231" s="1" t="s">
        <v>6</v>
      </c>
      <c r="D231" s="1" t="s">
        <v>18</v>
      </c>
      <c r="E231" s="1" t="s">
        <v>687</v>
      </c>
      <c r="F231" s="1" t="s">
        <v>687</v>
      </c>
      <c r="G231" s="1" t="s">
        <v>689</v>
      </c>
      <c r="H231" s="1" t="s">
        <v>691</v>
      </c>
      <c r="I231" s="1" t="s">
        <v>688</v>
      </c>
      <c r="J231" s="1" t="s">
        <v>690</v>
      </c>
      <c r="M231" s="2" t="str">
        <f t="shared" ca="1" si="3"/>
        <v>D</v>
      </c>
      <c r="N231" s="1" t="s">
        <v>692</v>
      </c>
      <c r="O231" s="1" t="s">
        <v>421</v>
      </c>
      <c r="P231" s="1" t="s">
        <v>693</v>
      </c>
      <c r="Q231" s="1">
        <v>90</v>
      </c>
      <c r="R231" s="1">
        <v>1</v>
      </c>
    </row>
    <row r="232" spans="1:18" ht="90" x14ac:dyDescent="0.25">
      <c r="A232" s="1" t="s">
        <v>702</v>
      </c>
      <c r="B232" s="1" t="s">
        <v>12</v>
      </c>
      <c r="C232" s="1" t="s">
        <v>6</v>
      </c>
      <c r="D232" s="1" t="s">
        <v>18</v>
      </c>
      <c r="E232" s="1" t="s">
        <v>687</v>
      </c>
      <c r="F232" s="1" t="s">
        <v>687</v>
      </c>
      <c r="G232" s="1" t="s">
        <v>689</v>
      </c>
      <c r="H232" s="1" t="s">
        <v>690</v>
      </c>
      <c r="I232" s="1" t="s">
        <v>691</v>
      </c>
      <c r="J232" s="1" t="s">
        <v>688</v>
      </c>
      <c r="M232" s="2" t="str">
        <f t="shared" ca="1" si="3"/>
        <v>D</v>
      </c>
      <c r="N232" s="1" t="s">
        <v>692</v>
      </c>
      <c r="O232" s="1" t="s">
        <v>421</v>
      </c>
      <c r="P232" s="1" t="s">
        <v>693</v>
      </c>
      <c r="Q232" s="1">
        <v>84</v>
      </c>
      <c r="R232" s="1">
        <v>0.6</v>
      </c>
    </row>
    <row r="233" spans="1:18" ht="105" x14ac:dyDescent="0.25">
      <c r="A233" s="1" t="s">
        <v>703</v>
      </c>
      <c r="B233" s="1" t="s">
        <v>12</v>
      </c>
      <c r="C233" s="1" t="s">
        <v>6</v>
      </c>
      <c r="D233" s="1" t="s">
        <v>18</v>
      </c>
      <c r="E233" s="1" t="s">
        <v>687</v>
      </c>
      <c r="F233" s="1" t="s">
        <v>687</v>
      </c>
      <c r="G233" s="1" t="s">
        <v>689</v>
      </c>
      <c r="H233" s="1" t="s">
        <v>691</v>
      </c>
      <c r="I233" s="1" t="s">
        <v>688</v>
      </c>
      <c r="J233" s="1" t="s">
        <v>690</v>
      </c>
      <c r="M233" s="2" t="str">
        <f t="shared" ca="1" si="3"/>
        <v>D</v>
      </c>
      <c r="N233" s="1" t="s">
        <v>692</v>
      </c>
      <c r="O233" s="1" t="s">
        <v>421</v>
      </c>
      <c r="P233" s="1" t="s">
        <v>693</v>
      </c>
      <c r="Q233" s="1">
        <v>149</v>
      </c>
      <c r="R233" s="1">
        <v>0.7</v>
      </c>
    </row>
    <row r="234" spans="1:18" ht="105" x14ac:dyDescent="0.25">
      <c r="A234" s="1" t="s">
        <v>704</v>
      </c>
      <c r="B234" s="1" t="s">
        <v>12</v>
      </c>
      <c r="C234" s="1" t="s">
        <v>6</v>
      </c>
      <c r="D234" s="1" t="s">
        <v>18</v>
      </c>
      <c r="E234" s="1" t="s">
        <v>687</v>
      </c>
      <c r="F234" s="1" t="s">
        <v>687</v>
      </c>
      <c r="G234" s="1" t="s">
        <v>690</v>
      </c>
      <c r="H234" s="1" t="s">
        <v>689</v>
      </c>
      <c r="I234" s="1" t="s">
        <v>691</v>
      </c>
      <c r="J234" s="1" t="s">
        <v>688</v>
      </c>
      <c r="M234" s="2" t="str">
        <f t="shared" ca="1" si="3"/>
        <v>C</v>
      </c>
      <c r="N234" s="1" t="s">
        <v>692</v>
      </c>
      <c r="O234" s="1" t="s">
        <v>442</v>
      </c>
      <c r="P234" s="1" t="s">
        <v>693</v>
      </c>
      <c r="Q234" s="1">
        <v>123</v>
      </c>
      <c r="R234" s="1">
        <v>0.8</v>
      </c>
    </row>
    <row r="235" spans="1:18" ht="105" x14ac:dyDescent="0.25">
      <c r="A235" s="1" t="s">
        <v>705</v>
      </c>
      <c r="B235" s="1" t="s">
        <v>12</v>
      </c>
      <c r="C235" s="1" t="s">
        <v>6</v>
      </c>
      <c r="D235" s="1" t="s">
        <v>18</v>
      </c>
      <c r="E235" s="1" t="s">
        <v>687</v>
      </c>
      <c r="F235" s="1" t="s">
        <v>687</v>
      </c>
      <c r="G235" s="1" t="s">
        <v>690</v>
      </c>
      <c r="H235" s="1" t="s">
        <v>691</v>
      </c>
      <c r="I235" s="1" t="s">
        <v>689</v>
      </c>
      <c r="J235" s="1" t="s">
        <v>688</v>
      </c>
      <c r="M235" s="2" t="str">
        <f t="shared" ca="1" si="3"/>
        <v>A</v>
      </c>
      <c r="N235" s="1" t="s">
        <v>692</v>
      </c>
      <c r="O235" s="1" t="s">
        <v>442</v>
      </c>
      <c r="P235" s="1" t="s">
        <v>693</v>
      </c>
      <c r="Q235" s="1">
        <v>152</v>
      </c>
      <c r="R235" s="1">
        <v>0.9</v>
      </c>
    </row>
    <row r="236" spans="1:18" ht="90" x14ac:dyDescent="0.25">
      <c r="A236" s="1" t="s">
        <v>706</v>
      </c>
      <c r="B236" s="1" t="s">
        <v>12</v>
      </c>
      <c r="C236" s="1" t="s">
        <v>6</v>
      </c>
      <c r="D236" s="1" t="s">
        <v>18</v>
      </c>
      <c r="E236" s="1" t="s">
        <v>687</v>
      </c>
      <c r="F236" s="1" t="s">
        <v>687</v>
      </c>
      <c r="G236" s="1" t="s">
        <v>689</v>
      </c>
      <c r="H236" s="1" t="s">
        <v>690</v>
      </c>
      <c r="I236" s="1" t="s">
        <v>688</v>
      </c>
      <c r="J236" s="1" t="s">
        <v>691</v>
      </c>
      <c r="M236" s="2" t="str">
        <f t="shared" ca="1" si="3"/>
        <v>B</v>
      </c>
      <c r="N236" s="1" t="s">
        <v>692</v>
      </c>
      <c r="O236" s="1" t="s">
        <v>421</v>
      </c>
      <c r="P236" s="1" t="s">
        <v>693</v>
      </c>
      <c r="Q236" s="1">
        <v>110</v>
      </c>
      <c r="R236" s="1">
        <v>1</v>
      </c>
    </row>
    <row r="237" spans="1:18" ht="105" x14ac:dyDescent="0.25">
      <c r="A237" s="1" t="s">
        <v>707</v>
      </c>
      <c r="B237" s="1" t="s">
        <v>12</v>
      </c>
      <c r="C237" s="1" t="s">
        <v>6</v>
      </c>
      <c r="D237" s="1" t="s">
        <v>18</v>
      </c>
      <c r="E237" s="1" t="s">
        <v>687</v>
      </c>
      <c r="F237" s="1" t="s">
        <v>687</v>
      </c>
      <c r="G237" s="1" t="s">
        <v>690</v>
      </c>
      <c r="H237" s="1" t="s">
        <v>688</v>
      </c>
      <c r="I237" s="1" t="s">
        <v>689</v>
      </c>
      <c r="J237" s="1" t="s">
        <v>691</v>
      </c>
      <c r="M237" s="2" t="str">
        <f t="shared" ca="1" si="3"/>
        <v>B</v>
      </c>
      <c r="N237" s="1" t="s">
        <v>692</v>
      </c>
      <c r="O237" s="1" t="s">
        <v>421</v>
      </c>
      <c r="P237" s="1" t="s">
        <v>693</v>
      </c>
      <c r="Q237" s="1">
        <v>143</v>
      </c>
      <c r="R237" s="1">
        <v>0.9</v>
      </c>
    </row>
    <row r="238" spans="1:18" ht="75" x14ac:dyDescent="0.25">
      <c r="A238" s="1" t="s">
        <v>708</v>
      </c>
      <c r="B238" s="1" t="s">
        <v>12</v>
      </c>
      <c r="C238" s="1" t="s">
        <v>6</v>
      </c>
      <c r="D238" s="1" t="s">
        <v>18</v>
      </c>
      <c r="E238" s="1" t="s">
        <v>709</v>
      </c>
      <c r="F238" s="1" t="s">
        <v>709</v>
      </c>
      <c r="G238" s="1" t="s">
        <v>712</v>
      </c>
      <c r="H238" s="1" t="s">
        <v>710</v>
      </c>
      <c r="I238" s="1" t="s">
        <v>713</v>
      </c>
      <c r="J238" s="1" t="s">
        <v>711</v>
      </c>
      <c r="M238" s="2" t="str">
        <f t="shared" ca="1" si="3"/>
        <v>A</v>
      </c>
      <c r="N238" s="1" t="s">
        <v>714</v>
      </c>
      <c r="O238" s="1" t="s">
        <v>442</v>
      </c>
      <c r="P238" s="1" t="s">
        <v>715</v>
      </c>
      <c r="Q238" s="1">
        <v>150</v>
      </c>
      <c r="R238" s="1">
        <v>1</v>
      </c>
    </row>
    <row r="239" spans="1:18" ht="75" x14ac:dyDescent="0.25">
      <c r="A239" s="1" t="s">
        <v>716</v>
      </c>
      <c r="B239" s="1" t="s">
        <v>12</v>
      </c>
      <c r="C239" s="1" t="s">
        <v>6</v>
      </c>
      <c r="D239" s="1" t="s">
        <v>18</v>
      </c>
      <c r="E239" s="1" t="s">
        <v>709</v>
      </c>
      <c r="F239" s="1" t="s">
        <v>709</v>
      </c>
      <c r="G239" s="1" t="s">
        <v>717</v>
      </c>
      <c r="H239" s="1" t="s">
        <v>718</v>
      </c>
      <c r="I239" s="1" t="s">
        <v>719</v>
      </c>
      <c r="J239" s="1" t="s">
        <v>720</v>
      </c>
      <c r="M239" s="2" t="str">
        <f t="shared" ca="1" si="3"/>
        <v>B</v>
      </c>
      <c r="N239" s="1" t="s">
        <v>721</v>
      </c>
      <c r="O239" s="1" t="s">
        <v>442</v>
      </c>
      <c r="P239" s="1" t="s">
        <v>715</v>
      </c>
      <c r="Q239" s="1">
        <v>75</v>
      </c>
      <c r="R239" s="1">
        <v>0.9</v>
      </c>
    </row>
    <row r="240" spans="1:18" ht="75" x14ac:dyDescent="0.25">
      <c r="A240" s="1" t="s">
        <v>722</v>
      </c>
      <c r="B240" s="1" t="s">
        <v>12</v>
      </c>
      <c r="C240" s="1" t="s">
        <v>6</v>
      </c>
      <c r="D240" s="1" t="s">
        <v>18</v>
      </c>
      <c r="E240" s="1" t="s">
        <v>709</v>
      </c>
      <c r="F240" s="1" t="s">
        <v>709</v>
      </c>
      <c r="G240" s="1" t="s">
        <v>710</v>
      </c>
      <c r="H240" s="1" t="s">
        <v>713</v>
      </c>
      <c r="I240" s="1" t="s">
        <v>712</v>
      </c>
      <c r="J240" s="1" t="s">
        <v>711</v>
      </c>
      <c r="M240" s="2" t="str">
        <f t="shared" ca="1" si="3"/>
        <v>C</v>
      </c>
      <c r="N240" s="1" t="s">
        <v>714</v>
      </c>
      <c r="O240" s="1" t="s">
        <v>442</v>
      </c>
      <c r="P240" s="1" t="s">
        <v>715</v>
      </c>
      <c r="Q240" s="1">
        <v>91</v>
      </c>
      <c r="R240" s="1">
        <v>0.6</v>
      </c>
    </row>
    <row r="241" spans="1:18" ht="75" x14ac:dyDescent="0.25">
      <c r="A241" s="1" t="s">
        <v>723</v>
      </c>
      <c r="B241" s="1" t="s">
        <v>12</v>
      </c>
      <c r="C241" s="1" t="s">
        <v>6</v>
      </c>
      <c r="D241" s="1" t="s">
        <v>18</v>
      </c>
      <c r="E241" s="1" t="s">
        <v>709</v>
      </c>
      <c r="F241" s="1" t="s">
        <v>709</v>
      </c>
      <c r="G241" s="1" t="s">
        <v>712</v>
      </c>
      <c r="H241" s="1" t="s">
        <v>713</v>
      </c>
      <c r="I241" s="1" t="s">
        <v>711</v>
      </c>
      <c r="J241" s="1" t="s">
        <v>710</v>
      </c>
      <c r="M241" s="2" t="str">
        <f t="shared" ca="1" si="3"/>
        <v>C</v>
      </c>
      <c r="N241" s="1" t="s">
        <v>714</v>
      </c>
      <c r="O241" s="1" t="s">
        <v>413</v>
      </c>
      <c r="P241" s="1" t="s">
        <v>715</v>
      </c>
      <c r="Q241" s="1">
        <v>157</v>
      </c>
      <c r="R241" s="1">
        <v>0.7</v>
      </c>
    </row>
    <row r="242" spans="1:18" ht="75" x14ac:dyDescent="0.25">
      <c r="A242" s="1" t="s">
        <v>724</v>
      </c>
      <c r="B242" s="1" t="s">
        <v>12</v>
      </c>
      <c r="C242" s="1" t="s">
        <v>6</v>
      </c>
      <c r="D242" s="1" t="s">
        <v>18</v>
      </c>
      <c r="E242" s="1" t="s">
        <v>709</v>
      </c>
      <c r="F242" s="1" t="s">
        <v>709</v>
      </c>
      <c r="G242" s="1" t="s">
        <v>713</v>
      </c>
      <c r="H242" s="1" t="s">
        <v>710</v>
      </c>
      <c r="I242" s="1" t="s">
        <v>711</v>
      </c>
      <c r="J242" s="1" t="s">
        <v>712</v>
      </c>
      <c r="M242" s="2" t="str">
        <f t="shared" ca="1" si="3"/>
        <v>A</v>
      </c>
      <c r="N242" s="1" t="s">
        <v>714</v>
      </c>
      <c r="O242" s="1" t="s">
        <v>421</v>
      </c>
      <c r="P242" s="1" t="s">
        <v>715</v>
      </c>
      <c r="Q242" s="1">
        <v>85</v>
      </c>
      <c r="R242" s="1">
        <v>0.9</v>
      </c>
    </row>
    <row r="243" spans="1:18" ht="75" x14ac:dyDescent="0.25">
      <c r="A243" s="1" t="s">
        <v>725</v>
      </c>
      <c r="B243" s="1" t="s">
        <v>12</v>
      </c>
      <c r="C243" s="1" t="s">
        <v>6</v>
      </c>
      <c r="D243" s="1" t="s">
        <v>18</v>
      </c>
      <c r="E243" s="1" t="s">
        <v>709</v>
      </c>
      <c r="F243" s="1" t="s">
        <v>709</v>
      </c>
      <c r="G243" s="1" t="s">
        <v>712</v>
      </c>
      <c r="H243" s="1" t="s">
        <v>711</v>
      </c>
      <c r="I243" s="1" t="s">
        <v>710</v>
      </c>
      <c r="J243" s="1" t="s">
        <v>713</v>
      </c>
      <c r="M243" s="2" t="str">
        <f t="shared" ca="1" si="3"/>
        <v>D</v>
      </c>
      <c r="N243" s="1" t="s">
        <v>714</v>
      </c>
      <c r="O243" s="1" t="s">
        <v>421</v>
      </c>
      <c r="P243" s="1" t="s">
        <v>715</v>
      </c>
      <c r="Q243" s="1">
        <v>168</v>
      </c>
      <c r="R243" s="1">
        <v>0.8</v>
      </c>
    </row>
    <row r="244" spans="1:18" ht="75" x14ac:dyDescent="0.25">
      <c r="A244" s="1" t="s">
        <v>726</v>
      </c>
      <c r="B244" s="1" t="s">
        <v>12</v>
      </c>
      <c r="C244" s="1" t="s">
        <v>6</v>
      </c>
      <c r="D244" s="1" t="s">
        <v>18</v>
      </c>
      <c r="E244" s="1" t="s">
        <v>709</v>
      </c>
      <c r="F244" s="1" t="s">
        <v>709</v>
      </c>
      <c r="G244" s="1" t="s">
        <v>711</v>
      </c>
      <c r="H244" s="1" t="s">
        <v>710</v>
      </c>
      <c r="I244" s="1" t="s">
        <v>713</v>
      </c>
      <c r="J244" s="1" t="s">
        <v>712</v>
      </c>
      <c r="M244" s="2" t="str">
        <f t="shared" ca="1" si="3"/>
        <v>C</v>
      </c>
      <c r="N244" s="1" t="s">
        <v>714</v>
      </c>
      <c r="O244" s="1" t="s">
        <v>421</v>
      </c>
      <c r="P244" s="1" t="s">
        <v>715</v>
      </c>
      <c r="Q244" s="1">
        <v>156</v>
      </c>
      <c r="R244" s="1">
        <v>0.8</v>
      </c>
    </row>
    <row r="245" spans="1:18" ht="75" x14ac:dyDescent="0.25">
      <c r="A245" s="1" t="s">
        <v>727</v>
      </c>
      <c r="B245" s="1" t="s">
        <v>12</v>
      </c>
      <c r="C245" s="1" t="s">
        <v>6</v>
      </c>
      <c r="D245" s="1" t="s">
        <v>18</v>
      </c>
      <c r="E245" s="1" t="s">
        <v>709</v>
      </c>
      <c r="F245" s="1" t="s">
        <v>709</v>
      </c>
      <c r="G245" s="1" t="s">
        <v>711</v>
      </c>
      <c r="H245" s="1" t="s">
        <v>710</v>
      </c>
      <c r="I245" s="1" t="s">
        <v>712</v>
      </c>
      <c r="J245" s="1" t="s">
        <v>713</v>
      </c>
      <c r="M245" s="2" t="str">
        <f t="shared" ca="1" si="3"/>
        <v>A</v>
      </c>
      <c r="N245" s="1" t="s">
        <v>714</v>
      </c>
      <c r="O245" s="1" t="s">
        <v>413</v>
      </c>
      <c r="P245" s="1" t="s">
        <v>715</v>
      </c>
      <c r="Q245" s="1">
        <v>99</v>
      </c>
      <c r="R245" s="1">
        <v>0.8</v>
      </c>
    </row>
    <row r="246" spans="1:18" ht="75" x14ac:dyDescent="0.25">
      <c r="A246" s="1" t="s">
        <v>728</v>
      </c>
      <c r="B246" s="1" t="s">
        <v>12</v>
      </c>
      <c r="C246" s="1" t="s">
        <v>6</v>
      </c>
      <c r="D246" s="1" t="s">
        <v>18</v>
      </c>
      <c r="E246" s="1" t="s">
        <v>709</v>
      </c>
      <c r="F246" s="1" t="s">
        <v>709</v>
      </c>
      <c r="G246" s="1" t="s">
        <v>712</v>
      </c>
      <c r="H246" s="1" t="s">
        <v>711</v>
      </c>
      <c r="I246" s="1" t="s">
        <v>710</v>
      </c>
      <c r="J246" s="1" t="s">
        <v>713</v>
      </c>
      <c r="M246" s="2" t="str">
        <f t="shared" ca="1" si="3"/>
        <v>D</v>
      </c>
      <c r="N246" s="1" t="s">
        <v>714</v>
      </c>
      <c r="O246" s="1" t="s">
        <v>442</v>
      </c>
      <c r="P246" s="1" t="s">
        <v>715</v>
      </c>
      <c r="Q246" s="1">
        <v>73</v>
      </c>
      <c r="R246" s="1">
        <v>0.7</v>
      </c>
    </row>
    <row r="247" spans="1:18" ht="75" x14ac:dyDescent="0.25">
      <c r="A247" s="1" t="s">
        <v>729</v>
      </c>
      <c r="B247" s="1" t="s">
        <v>12</v>
      </c>
      <c r="C247" s="1" t="s">
        <v>6</v>
      </c>
      <c r="D247" s="1" t="s">
        <v>18</v>
      </c>
      <c r="E247" s="1" t="s">
        <v>709</v>
      </c>
      <c r="F247" s="1" t="s">
        <v>709</v>
      </c>
      <c r="G247" s="1" t="s">
        <v>710</v>
      </c>
      <c r="H247" s="1" t="s">
        <v>713</v>
      </c>
      <c r="I247" s="1" t="s">
        <v>712</v>
      </c>
      <c r="J247" s="1" t="s">
        <v>711</v>
      </c>
      <c r="M247" s="2" t="str">
        <f t="shared" ca="1" si="3"/>
        <v>B</v>
      </c>
      <c r="N247" s="1" t="s">
        <v>714</v>
      </c>
      <c r="O247" s="1" t="s">
        <v>421</v>
      </c>
      <c r="P247" s="1" t="s">
        <v>715</v>
      </c>
      <c r="Q247" s="1">
        <v>145</v>
      </c>
      <c r="R247" s="1">
        <v>0.6</v>
      </c>
    </row>
    <row r="248" spans="1:18" ht="75" x14ac:dyDescent="0.25">
      <c r="A248" s="1" t="s">
        <v>730</v>
      </c>
      <c r="B248" s="1" t="s">
        <v>12</v>
      </c>
      <c r="C248" s="1" t="s">
        <v>6</v>
      </c>
      <c r="D248" s="1" t="s">
        <v>18</v>
      </c>
      <c r="E248" s="1" t="s">
        <v>731</v>
      </c>
      <c r="F248" s="1" t="s">
        <v>731</v>
      </c>
      <c r="G248" s="1" t="s">
        <v>734</v>
      </c>
      <c r="H248" s="1" t="s">
        <v>735</v>
      </c>
      <c r="I248" s="1" t="s">
        <v>732</v>
      </c>
      <c r="J248" s="1" t="s">
        <v>733</v>
      </c>
      <c r="M248" s="2" t="str">
        <f t="shared" ca="1" si="3"/>
        <v>C</v>
      </c>
      <c r="N248" s="1" t="s">
        <v>736</v>
      </c>
      <c r="O248" s="1" t="s">
        <v>421</v>
      </c>
      <c r="P248" s="1" t="s">
        <v>737</v>
      </c>
      <c r="Q248" s="1">
        <v>63</v>
      </c>
      <c r="R248" s="1">
        <v>0.8</v>
      </c>
    </row>
    <row r="249" spans="1:18" ht="75" x14ac:dyDescent="0.25">
      <c r="A249" s="1" t="s">
        <v>738</v>
      </c>
      <c r="B249" s="1" t="s">
        <v>12</v>
      </c>
      <c r="C249" s="1" t="s">
        <v>6</v>
      </c>
      <c r="D249" s="1" t="s">
        <v>18</v>
      </c>
      <c r="E249" s="1" t="s">
        <v>731</v>
      </c>
      <c r="F249" s="1" t="s">
        <v>731</v>
      </c>
      <c r="G249" s="1" t="s">
        <v>734</v>
      </c>
      <c r="H249" s="1" t="s">
        <v>733</v>
      </c>
      <c r="I249" s="1" t="s">
        <v>735</v>
      </c>
      <c r="J249" s="1" t="s">
        <v>732</v>
      </c>
      <c r="M249" s="2" t="str">
        <f t="shared" ca="1" si="3"/>
        <v>C</v>
      </c>
      <c r="N249" s="1" t="s">
        <v>736</v>
      </c>
      <c r="O249" s="1" t="s">
        <v>421</v>
      </c>
      <c r="P249" s="1" t="s">
        <v>737</v>
      </c>
      <c r="Q249" s="1">
        <v>128</v>
      </c>
      <c r="R249" s="1">
        <v>0.6</v>
      </c>
    </row>
    <row r="250" spans="1:18" ht="75" x14ac:dyDescent="0.25">
      <c r="A250" s="1" t="s">
        <v>739</v>
      </c>
      <c r="B250" s="1" t="s">
        <v>12</v>
      </c>
      <c r="C250" s="1" t="s">
        <v>6</v>
      </c>
      <c r="D250" s="1" t="s">
        <v>18</v>
      </c>
      <c r="E250" s="1" t="s">
        <v>731</v>
      </c>
      <c r="F250" s="1" t="s">
        <v>731</v>
      </c>
      <c r="G250" s="1" t="s">
        <v>732</v>
      </c>
      <c r="H250" s="1" t="s">
        <v>735</v>
      </c>
      <c r="I250" s="1" t="s">
        <v>734</v>
      </c>
      <c r="J250" s="1" t="s">
        <v>733</v>
      </c>
      <c r="M250" s="2" t="str">
        <f t="shared" ca="1" si="3"/>
        <v>A</v>
      </c>
      <c r="N250" s="1" t="s">
        <v>736</v>
      </c>
      <c r="O250" s="1" t="s">
        <v>421</v>
      </c>
      <c r="P250" s="1" t="s">
        <v>737</v>
      </c>
      <c r="Q250" s="1">
        <v>174</v>
      </c>
      <c r="R250" s="1">
        <v>0.7</v>
      </c>
    </row>
    <row r="251" spans="1:18" ht="75" x14ac:dyDescent="0.25">
      <c r="A251" s="1" t="s">
        <v>740</v>
      </c>
      <c r="B251" s="1" t="s">
        <v>12</v>
      </c>
      <c r="C251" s="1" t="s">
        <v>6</v>
      </c>
      <c r="D251" s="1" t="s">
        <v>18</v>
      </c>
      <c r="E251" s="1" t="s">
        <v>731</v>
      </c>
      <c r="F251" s="1" t="s">
        <v>731</v>
      </c>
      <c r="G251" s="1" t="s">
        <v>733</v>
      </c>
      <c r="H251" s="1" t="s">
        <v>735</v>
      </c>
      <c r="I251" s="1" t="s">
        <v>734</v>
      </c>
      <c r="J251" s="1" t="s">
        <v>732</v>
      </c>
      <c r="M251" s="2" t="str">
        <f t="shared" ca="1" si="3"/>
        <v>C</v>
      </c>
      <c r="N251" s="1" t="s">
        <v>736</v>
      </c>
      <c r="O251" s="1" t="s">
        <v>413</v>
      </c>
      <c r="P251" s="1" t="s">
        <v>737</v>
      </c>
      <c r="Q251" s="1">
        <v>178</v>
      </c>
      <c r="R251" s="1">
        <v>0.7</v>
      </c>
    </row>
    <row r="252" spans="1:18" ht="75" x14ac:dyDescent="0.25">
      <c r="A252" s="1" t="s">
        <v>741</v>
      </c>
      <c r="B252" s="1" t="s">
        <v>12</v>
      </c>
      <c r="C252" s="1" t="s">
        <v>6</v>
      </c>
      <c r="D252" s="1" t="s">
        <v>18</v>
      </c>
      <c r="E252" s="1" t="s">
        <v>731</v>
      </c>
      <c r="F252" s="1" t="s">
        <v>731</v>
      </c>
      <c r="G252" s="1" t="s">
        <v>733</v>
      </c>
      <c r="H252" s="1" t="s">
        <v>732</v>
      </c>
      <c r="I252" s="1" t="s">
        <v>734</v>
      </c>
      <c r="J252" s="1" t="s">
        <v>735</v>
      </c>
      <c r="M252" s="2" t="str">
        <f t="shared" ca="1" si="3"/>
        <v>D</v>
      </c>
      <c r="N252" s="1" t="s">
        <v>736</v>
      </c>
      <c r="O252" s="1" t="s">
        <v>421</v>
      </c>
      <c r="P252" s="1" t="s">
        <v>737</v>
      </c>
      <c r="Q252" s="1">
        <v>74</v>
      </c>
      <c r="R252" s="1">
        <v>0.6</v>
      </c>
    </row>
    <row r="253" spans="1:18" ht="75" x14ac:dyDescent="0.25">
      <c r="A253" s="1" t="s">
        <v>742</v>
      </c>
      <c r="B253" s="1" t="s">
        <v>12</v>
      </c>
      <c r="C253" s="1" t="s">
        <v>6</v>
      </c>
      <c r="D253" s="1" t="s">
        <v>18</v>
      </c>
      <c r="E253" s="1" t="s">
        <v>731</v>
      </c>
      <c r="F253" s="1" t="s">
        <v>731</v>
      </c>
      <c r="G253" s="1" t="s">
        <v>733</v>
      </c>
      <c r="H253" s="1" t="s">
        <v>734</v>
      </c>
      <c r="I253" s="1" t="s">
        <v>735</v>
      </c>
      <c r="J253" s="1" t="s">
        <v>732</v>
      </c>
      <c r="M253" s="2" t="str">
        <f t="shared" ca="1" si="3"/>
        <v>A</v>
      </c>
      <c r="N253" s="1" t="s">
        <v>736</v>
      </c>
      <c r="O253" s="1" t="s">
        <v>421</v>
      </c>
      <c r="P253" s="1" t="s">
        <v>737</v>
      </c>
      <c r="Q253" s="1">
        <v>124</v>
      </c>
      <c r="R253" s="1">
        <v>0.7</v>
      </c>
    </row>
    <row r="254" spans="1:18" ht="75" x14ac:dyDescent="0.25">
      <c r="A254" s="1" t="s">
        <v>743</v>
      </c>
      <c r="B254" s="1" t="s">
        <v>12</v>
      </c>
      <c r="C254" s="1" t="s">
        <v>6</v>
      </c>
      <c r="D254" s="1" t="s">
        <v>18</v>
      </c>
      <c r="E254" s="1" t="s">
        <v>731</v>
      </c>
      <c r="F254" s="1" t="s">
        <v>731</v>
      </c>
      <c r="G254" s="1" t="s">
        <v>733</v>
      </c>
      <c r="H254" s="1" t="s">
        <v>735</v>
      </c>
      <c r="I254" s="1" t="s">
        <v>734</v>
      </c>
      <c r="J254" s="1" t="s">
        <v>732</v>
      </c>
      <c r="M254" s="2" t="str">
        <f t="shared" ca="1" si="3"/>
        <v>A</v>
      </c>
      <c r="N254" s="1" t="s">
        <v>736</v>
      </c>
      <c r="O254" s="1" t="s">
        <v>413</v>
      </c>
      <c r="P254" s="1" t="s">
        <v>737</v>
      </c>
      <c r="Q254" s="1">
        <v>61</v>
      </c>
      <c r="R254" s="1">
        <v>0.8</v>
      </c>
    </row>
    <row r="255" spans="1:18" ht="75" x14ac:dyDescent="0.25">
      <c r="A255" s="1" t="s">
        <v>744</v>
      </c>
      <c r="B255" s="1" t="s">
        <v>12</v>
      </c>
      <c r="C255" s="1" t="s">
        <v>6</v>
      </c>
      <c r="D255" s="1" t="s">
        <v>18</v>
      </c>
      <c r="E255" s="1" t="s">
        <v>731</v>
      </c>
      <c r="F255" s="1" t="s">
        <v>731</v>
      </c>
      <c r="G255" s="1" t="s">
        <v>734</v>
      </c>
      <c r="H255" s="1" t="s">
        <v>733</v>
      </c>
      <c r="I255" s="1" t="s">
        <v>732</v>
      </c>
      <c r="J255" s="1" t="s">
        <v>735</v>
      </c>
      <c r="M255" s="2" t="str">
        <f t="shared" ca="1" si="3"/>
        <v>A</v>
      </c>
      <c r="N255" s="1" t="s">
        <v>736</v>
      </c>
      <c r="O255" s="1" t="s">
        <v>442</v>
      </c>
      <c r="P255" s="1" t="s">
        <v>737</v>
      </c>
      <c r="Q255" s="1">
        <v>119</v>
      </c>
      <c r="R255" s="1">
        <v>0.9</v>
      </c>
    </row>
    <row r="256" spans="1:18" ht="75" x14ac:dyDescent="0.25">
      <c r="A256" s="1" t="s">
        <v>745</v>
      </c>
      <c r="B256" s="1" t="s">
        <v>12</v>
      </c>
      <c r="C256" s="1" t="s">
        <v>6</v>
      </c>
      <c r="D256" s="1" t="s">
        <v>18</v>
      </c>
      <c r="E256" s="1" t="s">
        <v>731</v>
      </c>
      <c r="F256" s="1" t="s">
        <v>731</v>
      </c>
      <c r="G256" s="1" t="s">
        <v>735</v>
      </c>
      <c r="H256" s="1" t="s">
        <v>733</v>
      </c>
      <c r="I256" s="1" t="s">
        <v>734</v>
      </c>
      <c r="J256" s="1" t="s">
        <v>732</v>
      </c>
      <c r="M256" s="2" t="str">
        <f t="shared" ca="1" si="3"/>
        <v>A</v>
      </c>
      <c r="N256" s="1" t="s">
        <v>736</v>
      </c>
      <c r="O256" s="1" t="s">
        <v>442</v>
      </c>
      <c r="P256" s="1" t="s">
        <v>737</v>
      </c>
      <c r="Q256" s="1">
        <v>112</v>
      </c>
      <c r="R256" s="1">
        <v>0.7</v>
      </c>
    </row>
    <row r="257" spans="1:18" ht="75" x14ac:dyDescent="0.25">
      <c r="A257" s="1" t="s">
        <v>746</v>
      </c>
      <c r="B257" s="1" t="s">
        <v>12</v>
      </c>
      <c r="C257" s="1" t="s">
        <v>6</v>
      </c>
      <c r="D257" s="1" t="s">
        <v>18</v>
      </c>
      <c r="E257" s="1" t="s">
        <v>731</v>
      </c>
      <c r="F257" s="1" t="s">
        <v>731</v>
      </c>
      <c r="G257" s="1" t="s">
        <v>733</v>
      </c>
      <c r="H257" s="1" t="s">
        <v>734</v>
      </c>
      <c r="I257" s="1" t="s">
        <v>732</v>
      </c>
      <c r="J257" s="1" t="s">
        <v>735</v>
      </c>
      <c r="M257" s="2" t="str">
        <f t="shared" ca="1" si="3"/>
        <v>D</v>
      </c>
      <c r="N257" s="1" t="s">
        <v>736</v>
      </c>
      <c r="O257" s="1" t="s">
        <v>413</v>
      </c>
      <c r="P257" s="1" t="s">
        <v>737</v>
      </c>
      <c r="Q257" s="1">
        <v>89</v>
      </c>
      <c r="R257" s="1">
        <v>0.9</v>
      </c>
    </row>
    <row r="258" spans="1:18" ht="60" x14ac:dyDescent="0.25">
      <c r="A258" s="1" t="s">
        <v>747</v>
      </c>
      <c r="B258" s="1" t="s">
        <v>12</v>
      </c>
      <c r="C258" s="1" t="s">
        <v>6</v>
      </c>
      <c r="D258" s="1" t="s">
        <v>16</v>
      </c>
      <c r="E258" s="1" t="s">
        <v>370</v>
      </c>
      <c r="F258" s="1" t="s">
        <v>370</v>
      </c>
      <c r="G258" s="1" t="s">
        <v>751</v>
      </c>
      <c r="H258" s="1" t="s">
        <v>750</v>
      </c>
      <c r="I258" s="1" t="s">
        <v>749</v>
      </c>
      <c r="J258" s="1" t="s">
        <v>748</v>
      </c>
      <c r="M258" s="2" t="str">
        <f t="shared" ca="1" si="3"/>
        <v>B</v>
      </c>
      <c r="N258" s="1" t="s">
        <v>752</v>
      </c>
      <c r="O258" s="1" t="s">
        <v>413</v>
      </c>
      <c r="P258" s="1" t="s">
        <v>753</v>
      </c>
      <c r="Q258" s="1">
        <v>170</v>
      </c>
      <c r="R258" s="1">
        <v>0.9</v>
      </c>
    </row>
    <row r="259" spans="1:18" ht="60" x14ac:dyDescent="0.25">
      <c r="A259" s="1" t="s">
        <v>754</v>
      </c>
      <c r="B259" s="1" t="s">
        <v>12</v>
      </c>
      <c r="C259" s="1" t="s">
        <v>6</v>
      </c>
      <c r="D259" s="1" t="s">
        <v>16</v>
      </c>
      <c r="E259" s="1" t="s">
        <v>370</v>
      </c>
      <c r="F259" s="1" t="s">
        <v>370</v>
      </c>
      <c r="G259" s="1" t="s">
        <v>750</v>
      </c>
      <c r="H259" s="1" t="s">
        <v>748</v>
      </c>
      <c r="I259" s="1" t="s">
        <v>751</v>
      </c>
      <c r="J259" s="1" t="s">
        <v>749</v>
      </c>
      <c r="M259" s="2" t="str">
        <f t="shared" ref="M259:M307" ca="1" si="4">CHAR(RANDBETWEEN(65,68))</f>
        <v>C</v>
      </c>
      <c r="N259" s="1" t="s">
        <v>752</v>
      </c>
      <c r="O259" s="1" t="s">
        <v>413</v>
      </c>
      <c r="P259" s="1" t="s">
        <v>753</v>
      </c>
      <c r="Q259" s="1">
        <v>168</v>
      </c>
      <c r="R259" s="1">
        <v>0.8</v>
      </c>
    </row>
    <row r="260" spans="1:18" ht="60" x14ac:dyDescent="0.25">
      <c r="A260" s="1" t="s">
        <v>755</v>
      </c>
      <c r="B260" s="1" t="s">
        <v>12</v>
      </c>
      <c r="C260" s="1" t="s">
        <v>6</v>
      </c>
      <c r="D260" s="1" t="s">
        <v>16</v>
      </c>
      <c r="E260" s="1" t="s">
        <v>370</v>
      </c>
      <c r="F260" s="1" t="s">
        <v>370</v>
      </c>
      <c r="G260" s="1" t="s">
        <v>750</v>
      </c>
      <c r="H260" s="1" t="s">
        <v>751</v>
      </c>
      <c r="I260" s="1" t="s">
        <v>749</v>
      </c>
      <c r="J260" s="1" t="s">
        <v>748</v>
      </c>
      <c r="M260" s="2" t="str">
        <f t="shared" ca="1" si="4"/>
        <v>B</v>
      </c>
      <c r="N260" s="1" t="s">
        <v>752</v>
      </c>
      <c r="O260" s="1" t="s">
        <v>413</v>
      </c>
      <c r="P260" s="1" t="s">
        <v>753</v>
      </c>
      <c r="Q260" s="1">
        <v>174</v>
      </c>
      <c r="R260" s="1">
        <v>1</v>
      </c>
    </row>
    <row r="261" spans="1:18" ht="60" x14ac:dyDescent="0.25">
      <c r="A261" s="1" t="s">
        <v>756</v>
      </c>
      <c r="B261" s="1" t="s">
        <v>12</v>
      </c>
      <c r="C261" s="1" t="s">
        <v>6</v>
      </c>
      <c r="D261" s="1" t="s">
        <v>16</v>
      </c>
      <c r="E261" s="1" t="s">
        <v>370</v>
      </c>
      <c r="F261" s="1" t="s">
        <v>370</v>
      </c>
      <c r="G261" s="1" t="s">
        <v>750</v>
      </c>
      <c r="H261" s="1" t="s">
        <v>751</v>
      </c>
      <c r="I261" s="1" t="s">
        <v>749</v>
      </c>
      <c r="J261" s="1" t="s">
        <v>748</v>
      </c>
      <c r="M261" s="2" t="str">
        <f t="shared" ca="1" si="4"/>
        <v>A</v>
      </c>
      <c r="N261" s="1" t="s">
        <v>752</v>
      </c>
      <c r="O261" s="1" t="s">
        <v>421</v>
      </c>
      <c r="P261" s="1" t="s">
        <v>753</v>
      </c>
      <c r="Q261" s="1">
        <v>75</v>
      </c>
      <c r="R261" s="1">
        <v>0.8</v>
      </c>
    </row>
    <row r="262" spans="1:18" ht="60" x14ac:dyDescent="0.25">
      <c r="A262" s="1" t="s">
        <v>757</v>
      </c>
      <c r="B262" s="1" t="s">
        <v>12</v>
      </c>
      <c r="C262" s="1" t="s">
        <v>6</v>
      </c>
      <c r="D262" s="1" t="s">
        <v>16</v>
      </c>
      <c r="E262" s="1" t="s">
        <v>370</v>
      </c>
      <c r="F262" s="1" t="s">
        <v>370</v>
      </c>
      <c r="G262" s="1" t="s">
        <v>750</v>
      </c>
      <c r="H262" s="1" t="s">
        <v>749</v>
      </c>
      <c r="I262" s="1" t="s">
        <v>748</v>
      </c>
      <c r="J262" s="1" t="s">
        <v>751</v>
      </c>
      <c r="M262" s="2" t="str">
        <f t="shared" ca="1" si="4"/>
        <v>C</v>
      </c>
      <c r="N262" s="1" t="s">
        <v>752</v>
      </c>
      <c r="O262" s="1" t="s">
        <v>413</v>
      </c>
      <c r="P262" s="1" t="s">
        <v>753</v>
      </c>
      <c r="Q262" s="1">
        <v>180</v>
      </c>
      <c r="R262" s="1">
        <v>0.7</v>
      </c>
    </row>
    <row r="263" spans="1:18" ht="60" x14ac:dyDescent="0.25">
      <c r="A263" s="1" t="s">
        <v>758</v>
      </c>
      <c r="B263" s="1" t="s">
        <v>12</v>
      </c>
      <c r="C263" s="1" t="s">
        <v>6</v>
      </c>
      <c r="D263" s="1" t="s">
        <v>16</v>
      </c>
      <c r="E263" s="1" t="s">
        <v>370</v>
      </c>
      <c r="F263" s="1" t="s">
        <v>370</v>
      </c>
      <c r="G263" s="1" t="s">
        <v>750</v>
      </c>
      <c r="H263" s="1" t="s">
        <v>748</v>
      </c>
      <c r="I263" s="1" t="s">
        <v>749</v>
      </c>
      <c r="J263" s="1" t="s">
        <v>751</v>
      </c>
      <c r="M263" s="2" t="str">
        <f t="shared" ca="1" si="4"/>
        <v>B</v>
      </c>
      <c r="N263" s="1" t="s">
        <v>752</v>
      </c>
      <c r="O263" s="1" t="s">
        <v>421</v>
      </c>
      <c r="P263" s="1" t="s">
        <v>753</v>
      </c>
      <c r="Q263" s="1">
        <v>151</v>
      </c>
      <c r="R263" s="1">
        <v>0.8</v>
      </c>
    </row>
    <row r="264" spans="1:18" ht="60" x14ac:dyDescent="0.25">
      <c r="A264" s="1" t="s">
        <v>759</v>
      </c>
      <c r="B264" s="1" t="s">
        <v>12</v>
      </c>
      <c r="C264" s="1" t="s">
        <v>6</v>
      </c>
      <c r="D264" s="1" t="s">
        <v>16</v>
      </c>
      <c r="E264" s="1" t="s">
        <v>370</v>
      </c>
      <c r="F264" s="1" t="s">
        <v>370</v>
      </c>
      <c r="G264" s="1" t="s">
        <v>750</v>
      </c>
      <c r="H264" s="1" t="s">
        <v>749</v>
      </c>
      <c r="I264" s="1" t="s">
        <v>751</v>
      </c>
      <c r="J264" s="1" t="s">
        <v>748</v>
      </c>
      <c r="M264" s="2" t="str">
        <f t="shared" ca="1" si="4"/>
        <v>B</v>
      </c>
      <c r="N264" s="1" t="s">
        <v>752</v>
      </c>
      <c r="O264" s="1" t="s">
        <v>421</v>
      </c>
      <c r="P264" s="1" t="s">
        <v>753</v>
      </c>
      <c r="Q264" s="1">
        <v>105</v>
      </c>
      <c r="R264" s="1">
        <v>0.7</v>
      </c>
    </row>
    <row r="265" spans="1:18" ht="60" x14ac:dyDescent="0.25">
      <c r="A265" s="1" t="s">
        <v>760</v>
      </c>
      <c r="B265" s="1" t="s">
        <v>12</v>
      </c>
      <c r="C265" s="1" t="s">
        <v>6</v>
      </c>
      <c r="D265" s="1" t="s">
        <v>16</v>
      </c>
      <c r="E265" s="1" t="s">
        <v>370</v>
      </c>
      <c r="F265" s="1" t="s">
        <v>370</v>
      </c>
      <c r="G265" s="1" t="s">
        <v>751</v>
      </c>
      <c r="H265" s="1" t="s">
        <v>750</v>
      </c>
      <c r="I265" s="1" t="s">
        <v>748</v>
      </c>
      <c r="J265" s="1" t="s">
        <v>749</v>
      </c>
      <c r="M265" s="2" t="str">
        <f t="shared" ca="1" si="4"/>
        <v>D</v>
      </c>
      <c r="N265" s="1" t="s">
        <v>752</v>
      </c>
      <c r="O265" s="1" t="s">
        <v>442</v>
      </c>
      <c r="P265" s="1" t="s">
        <v>753</v>
      </c>
      <c r="Q265" s="1">
        <v>101</v>
      </c>
      <c r="R265" s="1">
        <v>0.6</v>
      </c>
    </row>
    <row r="266" spans="1:18" ht="60" x14ac:dyDescent="0.25">
      <c r="A266" s="1" t="s">
        <v>761</v>
      </c>
      <c r="B266" s="1" t="s">
        <v>12</v>
      </c>
      <c r="C266" s="1" t="s">
        <v>6</v>
      </c>
      <c r="D266" s="1" t="s">
        <v>16</v>
      </c>
      <c r="E266" s="1" t="s">
        <v>370</v>
      </c>
      <c r="F266" s="1" t="s">
        <v>370</v>
      </c>
      <c r="G266" s="1" t="s">
        <v>750</v>
      </c>
      <c r="H266" s="1" t="s">
        <v>751</v>
      </c>
      <c r="I266" s="1" t="s">
        <v>748</v>
      </c>
      <c r="J266" s="1" t="s">
        <v>749</v>
      </c>
      <c r="M266" s="2" t="str">
        <f t="shared" ca="1" si="4"/>
        <v>A</v>
      </c>
      <c r="N266" s="1" t="s">
        <v>752</v>
      </c>
      <c r="O266" s="1" t="s">
        <v>421</v>
      </c>
      <c r="P266" s="1" t="s">
        <v>753</v>
      </c>
      <c r="Q266" s="1">
        <v>106</v>
      </c>
      <c r="R266" s="1">
        <v>0.6</v>
      </c>
    </row>
    <row r="267" spans="1:18" ht="60" x14ac:dyDescent="0.25">
      <c r="A267" s="1" t="s">
        <v>762</v>
      </c>
      <c r="B267" s="1" t="s">
        <v>12</v>
      </c>
      <c r="C267" s="1" t="s">
        <v>6</v>
      </c>
      <c r="D267" s="1" t="s">
        <v>16</v>
      </c>
      <c r="E267" s="1" t="s">
        <v>370</v>
      </c>
      <c r="F267" s="1" t="s">
        <v>370</v>
      </c>
      <c r="G267" s="1" t="s">
        <v>750</v>
      </c>
      <c r="H267" s="1" t="s">
        <v>749</v>
      </c>
      <c r="I267" s="1" t="s">
        <v>748</v>
      </c>
      <c r="J267" s="1" t="s">
        <v>751</v>
      </c>
      <c r="M267" s="2" t="str">
        <f t="shared" ca="1" si="4"/>
        <v>B</v>
      </c>
      <c r="N267" s="1" t="s">
        <v>752</v>
      </c>
      <c r="O267" s="1" t="s">
        <v>442</v>
      </c>
      <c r="P267" s="1" t="s">
        <v>753</v>
      </c>
      <c r="Q267" s="1">
        <v>148</v>
      </c>
      <c r="R267" s="1">
        <v>0.9</v>
      </c>
    </row>
    <row r="268" spans="1:18" ht="60" x14ac:dyDescent="0.25">
      <c r="A268" s="1" t="s">
        <v>763</v>
      </c>
      <c r="B268" s="1" t="s">
        <v>12</v>
      </c>
      <c r="C268" s="1" t="s">
        <v>6</v>
      </c>
      <c r="D268" s="1" t="s">
        <v>16</v>
      </c>
      <c r="E268" s="1" t="s">
        <v>371</v>
      </c>
      <c r="F268" s="1" t="s">
        <v>371</v>
      </c>
      <c r="G268" s="1" t="s">
        <v>766</v>
      </c>
      <c r="H268" s="1" t="s">
        <v>765</v>
      </c>
      <c r="I268" s="1" t="s">
        <v>767</v>
      </c>
      <c r="J268" s="1" t="s">
        <v>764</v>
      </c>
      <c r="M268" s="2" t="str">
        <f t="shared" ca="1" si="4"/>
        <v>A</v>
      </c>
      <c r="N268" s="1" t="s">
        <v>768</v>
      </c>
      <c r="O268" s="1" t="s">
        <v>421</v>
      </c>
      <c r="P268" s="1" t="s">
        <v>769</v>
      </c>
      <c r="Q268" s="1">
        <v>135</v>
      </c>
      <c r="R268" s="1">
        <v>0.9</v>
      </c>
    </row>
    <row r="269" spans="1:18" ht="60" x14ac:dyDescent="0.25">
      <c r="A269" s="1" t="s">
        <v>770</v>
      </c>
      <c r="B269" s="1" t="s">
        <v>12</v>
      </c>
      <c r="C269" s="1" t="s">
        <v>6</v>
      </c>
      <c r="D269" s="1" t="s">
        <v>16</v>
      </c>
      <c r="E269" s="1" t="s">
        <v>371</v>
      </c>
      <c r="F269" s="1" t="s">
        <v>371</v>
      </c>
      <c r="G269" s="1" t="s">
        <v>765</v>
      </c>
      <c r="H269" s="1" t="s">
        <v>766</v>
      </c>
      <c r="I269" s="1" t="s">
        <v>764</v>
      </c>
      <c r="J269" s="1" t="s">
        <v>767</v>
      </c>
      <c r="M269" s="2" t="str">
        <f t="shared" ca="1" si="4"/>
        <v>A</v>
      </c>
      <c r="N269" s="1" t="s">
        <v>768</v>
      </c>
      <c r="O269" s="1" t="s">
        <v>442</v>
      </c>
      <c r="P269" s="1" t="s">
        <v>769</v>
      </c>
      <c r="Q269" s="1">
        <v>80</v>
      </c>
      <c r="R269" s="1">
        <v>0.7</v>
      </c>
    </row>
    <row r="270" spans="1:18" ht="60" x14ac:dyDescent="0.25">
      <c r="A270" s="1" t="s">
        <v>771</v>
      </c>
      <c r="B270" s="1" t="s">
        <v>12</v>
      </c>
      <c r="C270" s="1" t="s">
        <v>6</v>
      </c>
      <c r="D270" s="1" t="s">
        <v>16</v>
      </c>
      <c r="E270" s="1" t="s">
        <v>371</v>
      </c>
      <c r="F270" s="1" t="s">
        <v>371</v>
      </c>
      <c r="G270" s="1" t="s">
        <v>765</v>
      </c>
      <c r="H270" s="1" t="s">
        <v>766</v>
      </c>
      <c r="I270" s="1" t="s">
        <v>764</v>
      </c>
      <c r="J270" s="1" t="s">
        <v>767</v>
      </c>
      <c r="M270" s="2" t="str">
        <f t="shared" ca="1" si="4"/>
        <v>C</v>
      </c>
      <c r="N270" s="1" t="s">
        <v>768</v>
      </c>
      <c r="O270" s="1" t="s">
        <v>421</v>
      </c>
      <c r="P270" s="1" t="s">
        <v>769</v>
      </c>
      <c r="Q270" s="1">
        <v>157</v>
      </c>
      <c r="R270" s="1">
        <v>0.7</v>
      </c>
    </row>
    <row r="271" spans="1:18" ht="60" x14ac:dyDescent="0.25">
      <c r="A271" s="1" t="s">
        <v>772</v>
      </c>
      <c r="B271" s="1" t="s">
        <v>12</v>
      </c>
      <c r="C271" s="1" t="s">
        <v>6</v>
      </c>
      <c r="D271" s="1" t="s">
        <v>16</v>
      </c>
      <c r="E271" s="1" t="s">
        <v>371</v>
      </c>
      <c r="F271" s="1" t="s">
        <v>371</v>
      </c>
      <c r="G271" s="1" t="s">
        <v>766</v>
      </c>
      <c r="H271" s="1" t="s">
        <v>765</v>
      </c>
      <c r="I271" s="1" t="s">
        <v>764</v>
      </c>
      <c r="J271" s="1" t="s">
        <v>767</v>
      </c>
      <c r="M271" s="2" t="str">
        <f t="shared" ca="1" si="4"/>
        <v>B</v>
      </c>
      <c r="N271" s="1" t="s">
        <v>768</v>
      </c>
      <c r="O271" s="1" t="s">
        <v>421</v>
      </c>
      <c r="P271" s="1" t="s">
        <v>769</v>
      </c>
      <c r="Q271" s="1">
        <v>85</v>
      </c>
      <c r="R271" s="1">
        <v>0.9</v>
      </c>
    </row>
    <row r="272" spans="1:18" ht="60" x14ac:dyDescent="0.25">
      <c r="A272" s="1" t="s">
        <v>773</v>
      </c>
      <c r="B272" s="1" t="s">
        <v>12</v>
      </c>
      <c r="C272" s="1" t="s">
        <v>6</v>
      </c>
      <c r="D272" s="1" t="s">
        <v>16</v>
      </c>
      <c r="E272" s="1" t="s">
        <v>371</v>
      </c>
      <c r="F272" s="1" t="s">
        <v>371</v>
      </c>
      <c r="G272" s="1" t="s">
        <v>766</v>
      </c>
      <c r="H272" s="1" t="s">
        <v>765</v>
      </c>
      <c r="I272" s="1" t="s">
        <v>767</v>
      </c>
      <c r="J272" s="1" t="s">
        <v>764</v>
      </c>
      <c r="M272" s="2" t="str">
        <f t="shared" ca="1" si="4"/>
        <v>C</v>
      </c>
      <c r="N272" s="1" t="s">
        <v>768</v>
      </c>
      <c r="O272" s="1" t="s">
        <v>421</v>
      </c>
      <c r="P272" s="1" t="s">
        <v>769</v>
      </c>
      <c r="Q272" s="1">
        <v>77</v>
      </c>
      <c r="R272" s="1">
        <v>0.8</v>
      </c>
    </row>
    <row r="273" spans="1:18" ht="60" x14ac:dyDescent="0.25">
      <c r="A273" s="1" t="s">
        <v>774</v>
      </c>
      <c r="B273" s="1" t="s">
        <v>12</v>
      </c>
      <c r="C273" s="1" t="s">
        <v>6</v>
      </c>
      <c r="D273" s="1" t="s">
        <v>16</v>
      </c>
      <c r="E273" s="1" t="s">
        <v>371</v>
      </c>
      <c r="F273" s="1" t="s">
        <v>371</v>
      </c>
      <c r="G273" s="1" t="s">
        <v>765</v>
      </c>
      <c r="H273" s="1" t="s">
        <v>766</v>
      </c>
      <c r="I273" s="1" t="s">
        <v>764</v>
      </c>
      <c r="J273" s="1" t="s">
        <v>767</v>
      </c>
      <c r="M273" s="2" t="str">
        <f t="shared" ca="1" si="4"/>
        <v>D</v>
      </c>
      <c r="N273" s="1" t="s">
        <v>768</v>
      </c>
      <c r="O273" s="1" t="s">
        <v>421</v>
      </c>
      <c r="P273" s="1" t="s">
        <v>769</v>
      </c>
      <c r="Q273" s="1">
        <v>69</v>
      </c>
      <c r="R273" s="1">
        <v>0.8</v>
      </c>
    </row>
    <row r="274" spans="1:18" ht="60" x14ac:dyDescent="0.25">
      <c r="A274" s="1" t="s">
        <v>775</v>
      </c>
      <c r="B274" s="1" t="s">
        <v>12</v>
      </c>
      <c r="C274" s="1" t="s">
        <v>6</v>
      </c>
      <c r="D274" s="1" t="s">
        <v>16</v>
      </c>
      <c r="E274" s="1" t="s">
        <v>371</v>
      </c>
      <c r="F274" s="1" t="s">
        <v>371</v>
      </c>
      <c r="G274" s="1" t="s">
        <v>765</v>
      </c>
      <c r="H274" s="1" t="s">
        <v>767</v>
      </c>
      <c r="I274" s="1" t="s">
        <v>766</v>
      </c>
      <c r="J274" s="1" t="s">
        <v>764</v>
      </c>
      <c r="M274" s="2" t="str">
        <f t="shared" ca="1" si="4"/>
        <v>B</v>
      </c>
      <c r="N274" s="1" t="s">
        <v>768</v>
      </c>
      <c r="O274" s="1" t="s">
        <v>413</v>
      </c>
      <c r="P274" s="1" t="s">
        <v>769</v>
      </c>
      <c r="Q274" s="1">
        <v>156</v>
      </c>
      <c r="R274" s="1">
        <v>0.7</v>
      </c>
    </row>
    <row r="275" spans="1:18" ht="60" x14ac:dyDescent="0.25">
      <c r="A275" s="1" t="s">
        <v>776</v>
      </c>
      <c r="B275" s="1" t="s">
        <v>12</v>
      </c>
      <c r="C275" s="1" t="s">
        <v>6</v>
      </c>
      <c r="D275" s="1" t="s">
        <v>16</v>
      </c>
      <c r="E275" s="1" t="s">
        <v>371</v>
      </c>
      <c r="F275" s="1" t="s">
        <v>371</v>
      </c>
      <c r="G275" s="1" t="s">
        <v>765</v>
      </c>
      <c r="H275" s="1" t="s">
        <v>766</v>
      </c>
      <c r="I275" s="1" t="s">
        <v>767</v>
      </c>
      <c r="J275" s="1" t="s">
        <v>764</v>
      </c>
      <c r="M275" s="2" t="str">
        <f t="shared" ca="1" si="4"/>
        <v>C</v>
      </c>
      <c r="N275" s="1" t="s">
        <v>768</v>
      </c>
      <c r="O275" s="1" t="s">
        <v>442</v>
      </c>
      <c r="P275" s="1" t="s">
        <v>769</v>
      </c>
      <c r="Q275" s="1">
        <v>87</v>
      </c>
      <c r="R275" s="1">
        <v>0.8</v>
      </c>
    </row>
    <row r="276" spans="1:18" ht="60" x14ac:dyDescent="0.25">
      <c r="A276" s="1" t="s">
        <v>777</v>
      </c>
      <c r="B276" s="1" t="s">
        <v>12</v>
      </c>
      <c r="C276" s="1" t="s">
        <v>6</v>
      </c>
      <c r="D276" s="1" t="s">
        <v>16</v>
      </c>
      <c r="E276" s="1" t="s">
        <v>371</v>
      </c>
      <c r="F276" s="1" t="s">
        <v>371</v>
      </c>
      <c r="G276" s="1" t="s">
        <v>766</v>
      </c>
      <c r="H276" s="1" t="s">
        <v>764</v>
      </c>
      <c r="I276" s="1" t="s">
        <v>767</v>
      </c>
      <c r="J276" s="1" t="s">
        <v>765</v>
      </c>
      <c r="M276" s="2" t="str">
        <f t="shared" ca="1" si="4"/>
        <v>B</v>
      </c>
      <c r="N276" s="1" t="s">
        <v>768</v>
      </c>
      <c r="O276" s="1" t="s">
        <v>413</v>
      </c>
      <c r="P276" s="1" t="s">
        <v>769</v>
      </c>
      <c r="Q276" s="1">
        <v>105</v>
      </c>
      <c r="R276" s="1">
        <v>1</v>
      </c>
    </row>
    <row r="277" spans="1:18" ht="60" x14ac:dyDescent="0.25">
      <c r="A277" s="1" t="s">
        <v>778</v>
      </c>
      <c r="B277" s="1" t="s">
        <v>12</v>
      </c>
      <c r="C277" s="1" t="s">
        <v>6</v>
      </c>
      <c r="D277" s="1" t="s">
        <v>16</v>
      </c>
      <c r="E277" s="1" t="s">
        <v>371</v>
      </c>
      <c r="F277" s="1" t="s">
        <v>371</v>
      </c>
      <c r="G277" s="1" t="s">
        <v>765</v>
      </c>
      <c r="H277" s="1" t="s">
        <v>764</v>
      </c>
      <c r="I277" s="1" t="s">
        <v>766</v>
      </c>
      <c r="J277" s="1" t="s">
        <v>767</v>
      </c>
      <c r="M277" s="2" t="str">
        <f t="shared" ca="1" si="4"/>
        <v>C</v>
      </c>
      <c r="N277" s="1" t="s">
        <v>768</v>
      </c>
      <c r="O277" s="1" t="s">
        <v>442</v>
      </c>
      <c r="P277" s="1" t="s">
        <v>769</v>
      </c>
      <c r="Q277" s="1">
        <v>170</v>
      </c>
      <c r="R277" s="1">
        <v>0.6</v>
      </c>
    </row>
    <row r="278" spans="1:18" ht="90" x14ac:dyDescent="0.25">
      <c r="A278" s="1" t="s">
        <v>779</v>
      </c>
      <c r="B278" s="1" t="s">
        <v>12</v>
      </c>
      <c r="C278" s="1" t="s">
        <v>6</v>
      </c>
      <c r="D278" s="1" t="s">
        <v>16</v>
      </c>
      <c r="E278" s="1" t="s">
        <v>372</v>
      </c>
      <c r="F278" s="1" t="s">
        <v>372</v>
      </c>
      <c r="G278" s="1" t="s">
        <v>783</v>
      </c>
      <c r="H278" s="1" t="s">
        <v>782</v>
      </c>
      <c r="I278" s="1" t="s">
        <v>781</v>
      </c>
      <c r="J278" s="1" t="s">
        <v>780</v>
      </c>
      <c r="M278" s="2" t="str">
        <f t="shared" ca="1" si="4"/>
        <v>B</v>
      </c>
      <c r="N278" s="1" t="s">
        <v>784</v>
      </c>
      <c r="O278" s="1" t="s">
        <v>413</v>
      </c>
      <c r="P278" s="1" t="s">
        <v>785</v>
      </c>
      <c r="Q278" s="1">
        <v>157</v>
      </c>
      <c r="R278" s="1">
        <v>0.8</v>
      </c>
    </row>
    <row r="279" spans="1:18" ht="45" x14ac:dyDescent="0.25">
      <c r="A279" s="1" t="s">
        <v>786</v>
      </c>
      <c r="B279" s="1" t="s">
        <v>12</v>
      </c>
      <c r="C279" s="1" t="s">
        <v>6</v>
      </c>
      <c r="D279" s="1" t="s">
        <v>16</v>
      </c>
      <c r="E279" s="1" t="s">
        <v>372</v>
      </c>
      <c r="F279" s="1" t="s">
        <v>372</v>
      </c>
      <c r="G279" s="1" t="s">
        <v>787</v>
      </c>
      <c r="H279" s="1" t="s">
        <v>790</v>
      </c>
      <c r="I279" s="1" t="s">
        <v>788</v>
      </c>
      <c r="J279" s="1" t="s">
        <v>789</v>
      </c>
      <c r="M279" s="2" t="str">
        <f t="shared" ca="1" si="4"/>
        <v>C</v>
      </c>
      <c r="N279" s="1" t="s">
        <v>791</v>
      </c>
      <c r="O279" s="1" t="s">
        <v>442</v>
      </c>
      <c r="P279" s="1" t="s">
        <v>785</v>
      </c>
      <c r="Q279" s="1">
        <v>137</v>
      </c>
      <c r="R279" s="1">
        <v>0.7</v>
      </c>
    </row>
    <row r="280" spans="1:18" ht="45" x14ac:dyDescent="0.25">
      <c r="A280" s="1" t="s">
        <v>792</v>
      </c>
      <c r="B280" s="1" t="s">
        <v>12</v>
      </c>
      <c r="C280" s="1" t="s">
        <v>6</v>
      </c>
      <c r="D280" s="1" t="s">
        <v>16</v>
      </c>
      <c r="E280" s="1" t="s">
        <v>372</v>
      </c>
      <c r="F280" s="1" t="s">
        <v>372</v>
      </c>
      <c r="G280" s="1" t="s">
        <v>788</v>
      </c>
      <c r="H280" s="1" t="s">
        <v>790</v>
      </c>
      <c r="I280" s="1" t="s">
        <v>789</v>
      </c>
      <c r="J280" s="1" t="s">
        <v>787</v>
      </c>
      <c r="M280" s="2" t="str">
        <f t="shared" ca="1" si="4"/>
        <v>A</v>
      </c>
      <c r="N280" s="1" t="s">
        <v>791</v>
      </c>
      <c r="O280" s="1" t="s">
        <v>421</v>
      </c>
      <c r="P280" s="1" t="s">
        <v>785</v>
      </c>
      <c r="Q280" s="1">
        <v>124</v>
      </c>
      <c r="R280" s="1">
        <v>1</v>
      </c>
    </row>
    <row r="281" spans="1:18" ht="60" x14ac:dyDescent="0.25">
      <c r="A281" s="1" t="s">
        <v>793</v>
      </c>
      <c r="B281" s="1" t="s">
        <v>12</v>
      </c>
      <c r="C281" s="1" t="s">
        <v>6</v>
      </c>
      <c r="D281" s="1" t="s">
        <v>16</v>
      </c>
      <c r="E281" s="1" t="s">
        <v>372</v>
      </c>
      <c r="F281" s="1" t="s">
        <v>372</v>
      </c>
      <c r="G281" s="1" t="s">
        <v>790</v>
      </c>
      <c r="H281" s="1" t="s">
        <v>788</v>
      </c>
      <c r="I281" s="1" t="s">
        <v>787</v>
      </c>
      <c r="J281" s="1" t="s">
        <v>789</v>
      </c>
      <c r="M281" s="2" t="str">
        <f t="shared" ca="1" si="4"/>
        <v>A</v>
      </c>
      <c r="N281" s="1" t="s">
        <v>791</v>
      </c>
      <c r="O281" s="1" t="s">
        <v>421</v>
      </c>
      <c r="P281" s="1" t="s">
        <v>785</v>
      </c>
      <c r="Q281" s="1">
        <v>136</v>
      </c>
      <c r="R281" s="1">
        <v>0.7</v>
      </c>
    </row>
    <row r="282" spans="1:18" ht="60" x14ac:dyDescent="0.25">
      <c r="A282" s="1" t="s">
        <v>794</v>
      </c>
      <c r="B282" s="1" t="s">
        <v>12</v>
      </c>
      <c r="C282" s="1" t="s">
        <v>6</v>
      </c>
      <c r="D282" s="1" t="s">
        <v>16</v>
      </c>
      <c r="E282" s="1" t="s">
        <v>372</v>
      </c>
      <c r="F282" s="1" t="s">
        <v>372</v>
      </c>
      <c r="G282" s="1" t="s">
        <v>789</v>
      </c>
      <c r="H282" s="1" t="s">
        <v>790</v>
      </c>
      <c r="I282" s="1" t="s">
        <v>787</v>
      </c>
      <c r="J282" s="1" t="s">
        <v>788</v>
      </c>
      <c r="M282" s="2" t="str">
        <f t="shared" ca="1" si="4"/>
        <v>B</v>
      </c>
      <c r="N282" s="1" t="s">
        <v>791</v>
      </c>
      <c r="O282" s="1" t="s">
        <v>421</v>
      </c>
      <c r="P282" s="1" t="s">
        <v>785</v>
      </c>
      <c r="Q282" s="1">
        <v>150</v>
      </c>
      <c r="R282" s="1">
        <v>0.6</v>
      </c>
    </row>
    <row r="283" spans="1:18" ht="60" x14ac:dyDescent="0.25">
      <c r="A283" s="1" t="s">
        <v>795</v>
      </c>
      <c r="B283" s="1" t="s">
        <v>12</v>
      </c>
      <c r="C283" s="1" t="s">
        <v>6</v>
      </c>
      <c r="D283" s="1" t="s">
        <v>16</v>
      </c>
      <c r="E283" s="1" t="s">
        <v>372</v>
      </c>
      <c r="F283" s="1" t="s">
        <v>372</v>
      </c>
      <c r="G283" s="1" t="s">
        <v>787</v>
      </c>
      <c r="H283" s="1" t="s">
        <v>788</v>
      </c>
      <c r="I283" s="1" t="s">
        <v>790</v>
      </c>
      <c r="J283" s="1" t="s">
        <v>789</v>
      </c>
      <c r="M283" s="2" t="str">
        <f t="shared" ca="1" si="4"/>
        <v>A</v>
      </c>
      <c r="N283" s="1" t="s">
        <v>791</v>
      </c>
      <c r="O283" s="1" t="s">
        <v>442</v>
      </c>
      <c r="P283" s="1" t="s">
        <v>785</v>
      </c>
      <c r="Q283" s="1">
        <v>88</v>
      </c>
      <c r="R283" s="1">
        <v>0.9</v>
      </c>
    </row>
    <row r="284" spans="1:18" ht="60" x14ac:dyDescent="0.25">
      <c r="A284" s="1" t="s">
        <v>796</v>
      </c>
      <c r="B284" s="1" t="s">
        <v>12</v>
      </c>
      <c r="C284" s="1" t="s">
        <v>6</v>
      </c>
      <c r="D284" s="1" t="s">
        <v>16</v>
      </c>
      <c r="E284" s="1" t="s">
        <v>372</v>
      </c>
      <c r="F284" s="1" t="s">
        <v>372</v>
      </c>
      <c r="G284" s="1" t="s">
        <v>789</v>
      </c>
      <c r="H284" s="1" t="s">
        <v>787</v>
      </c>
      <c r="I284" s="1" t="s">
        <v>790</v>
      </c>
      <c r="J284" s="1" t="s">
        <v>788</v>
      </c>
      <c r="M284" s="2" t="str">
        <f t="shared" ca="1" si="4"/>
        <v>A</v>
      </c>
      <c r="N284" s="1" t="s">
        <v>791</v>
      </c>
      <c r="O284" s="1" t="s">
        <v>413</v>
      </c>
      <c r="P284" s="1" t="s">
        <v>785</v>
      </c>
      <c r="Q284" s="1">
        <v>93</v>
      </c>
      <c r="R284" s="1">
        <v>0.8</v>
      </c>
    </row>
    <row r="285" spans="1:18" ht="60" x14ac:dyDescent="0.25">
      <c r="A285" s="1" t="s">
        <v>797</v>
      </c>
      <c r="B285" s="1" t="s">
        <v>12</v>
      </c>
      <c r="C285" s="1" t="s">
        <v>6</v>
      </c>
      <c r="D285" s="1" t="s">
        <v>16</v>
      </c>
      <c r="E285" s="1" t="s">
        <v>372</v>
      </c>
      <c r="F285" s="1" t="s">
        <v>372</v>
      </c>
      <c r="G285" s="1" t="s">
        <v>790</v>
      </c>
      <c r="H285" s="1" t="s">
        <v>788</v>
      </c>
      <c r="I285" s="1" t="s">
        <v>789</v>
      </c>
      <c r="J285" s="1" t="s">
        <v>787</v>
      </c>
      <c r="M285" s="2" t="str">
        <f t="shared" ca="1" si="4"/>
        <v>A</v>
      </c>
      <c r="N285" s="1" t="s">
        <v>791</v>
      </c>
      <c r="O285" s="1" t="s">
        <v>442</v>
      </c>
      <c r="P285" s="1" t="s">
        <v>785</v>
      </c>
      <c r="Q285" s="1">
        <v>82</v>
      </c>
      <c r="R285" s="1">
        <v>0.9</v>
      </c>
    </row>
    <row r="286" spans="1:18" ht="45" x14ac:dyDescent="0.25">
      <c r="A286" s="1" t="s">
        <v>798</v>
      </c>
      <c r="B286" s="1" t="s">
        <v>12</v>
      </c>
      <c r="C286" s="1" t="s">
        <v>6</v>
      </c>
      <c r="D286" s="1" t="s">
        <v>16</v>
      </c>
      <c r="E286" s="1" t="s">
        <v>372</v>
      </c>
      <c r="F286" s="1" t="s">
        <v>372</v>
      </c>
      <c r="G286" s="1" t="s">
        <v>787</v>
      </c>
      <c r="H286" s="1" t="s">
        <v>790</v>
      </c>
      <c r="I286" s="1" t="s">
        <v>788</v>
      </c>
      <c r="J286" s="1" t="s">
        <v>789</v>
      </c>
      <c r="M286" s="2" t="str">
        <f t="shared" ca="1" si="4"/>
        <v>D</v>
      </c>
      <c r="N286" s="1" t="s">
        <v>791</v>
      </c>
      <c r="O286" s="1" t="s">
        <v>413</v>
      </c>
      <c r="P286" s="1" t="s">
        <v>785</v>
      </c>
      <c r="Q286" s="1">
        <v>154</v>
      </c>
      <c r="R286" s="1">
        <v>0.8</v>
      </c>
    </row>
    <row r="287" spans="1:18" ht="60" x14ac:dyDescent="0.25">
      <c r="A287" s="1" t="s">
        <v>799</v>
      </c>
      <c r="B287" s="1" t="s">
        <v>12</v>
      </c>
      <c r="C287" s="1" t="s">
        <v>6</v>
      </c>
      <c r="D287" s="1" t="s">
        <v>16</v>
      </c>
      <c r="E287" s="1" t="s">
        <v>372</v>
      </c>
      <c r="F287" s="1" t="s">
        <v>372</v>
      </c>
      <c r="G287" s="1" t="s">
        <v>787</v>
      </c>
      <c r="H287" s="1" t="s">
        <v>788</v>
      </c>
      <c r="I287" s="1" t="s">
        <v>790</v>
      </c>
      <c r="J287" s="1" t="s">
        <v>789</v>
      </c>
      <c r="M287" s="2" t="str">
        <f t="shared" ca="1" si="4"/>
        <v>B</v>
      </c>
      <c r="N287" s="1" t="s">
        <v>791</v>
      </c>
      <c r="O287" s="1" t="s">
        <v>442</v>
      </c>
      <c r="P287" s="1" t="s">
        <v>785</v>
      </c>
      <c r="Q287" s="1">
        <v>64</v>
      </c>
      <c r="R287" s="1">
        <v>0.9</v>
      </c>
    </row>
    <row r="288" spans="1:18" ht="75" x14ac:dyDescent="0.25">
      <c r="A288" s="1" t="s">
        <v>800</v>
      </c>
      <c r="B288" s="1" t="s">
        <v>12</v>
      </c>
      <c r="C288" s="1" t="s">
        <v>6</v>
      </c>
      <c r="D288" s="1" t="s">
        <v>16</v>
      </c>
      <c r="E288" s="1" t="s">
        <v>373</v>
      </c>
      <c r="F288" s="1" t="s">
        <v>373</v>
      </c>
      <c r="G288" s="1" t="s">
        <v>764</v>
      </c>
      <c r="H288" s="1" t="s">
        <v>765</v>
      </c>
      <c r="I288" s="1" t="s">
        <v>766</v>
      </c>
      <c r="J288" s="1" t="s">
        <v>767</v>
      </c>
      <c r="M288" s="2" t="str">
        <f t="shared" ca="1" si="4"/>
        <v>A</v>
      </c>
      <c r="N288" s="1" t="s">
        <v>768</v>
      </c>
      <c r="O288" s="1" t="s">
        <v>421</v>
      </c>
      <c r="P288" s="1" t="s">
        <v>801</v>
      </c>
      <c r="Q288" s="1">
        <v>69</v>
      </c>
      <c r="R288" s="1">
        <v>0.8</v>
      </c>
    </row>
    <row r="289" spans="1:18" ht="75" x14ac:dyDescent="0.25">
      <c r="A289" s="1" t="s">
        <v>802</v>
      </c>
      <c r="B289" s="1" t="s">
        <v>12</v>
      </c>
      <c r="C289" s="1" t="s">
        <v>6</v>
      </c>
      <c r="D289" s="1" t="s">
        <v>16</v>
      </c>
      <c r="E289" s="1" t="s">
        <v>373</v>
      </c>
      <c r="F289" s="1" t="s">
        <v>373</v>
      </c>
      <c r="G289" s="1" t="s">
        <v>766</v>
      </c>
      <c r="H289" s="1" t="s">
        <v>764</v>
      </c>
      <c r="I289" s="1" t="s">
        <v>767</v>
      </c>
      <c r="J289" s="1" t="s">
        <v>765</v>
      </c>
      <c r="M289" s="2" t="str">
        <f t="shared" ca="1" si="4"/>
        <v>C</v>
      </c>
      <c r="N289" s="1" t="s">
        <v>768</v>
      </c>
      <c r="O289" s="1" t="s">
        <v>421</v>
      </c>
      <c r="P289" s="1" t="s">
        <v>801</v>
      </c>
      <c r="Q289" s="1">
        <v>94</v>
      </c>
      <c r="R289" s="1">
        <v>0.9</v>
      </c>
    </row>
    <row r="290" spans="1:18" ht="75" x14ac:dyDescent="0.25">
      <c r="A290" s="1" t="s">
        <v>803</v>
      </c>
      <c r="B290" s="1" t="s">
        <v>12</v>
      </c>
      <c r="C290" s="1" t="s">
        <v>6</v>
      </c>
      <c r="D290" s="1" t="s">
        <v>16</v>
      </c>
      <c r="E290" s="1" t="s">
        <v>373</v>
      </c>
      <c r="F290" s="1" t="s">
        <v>373</v>
      </c>
      <c r="G290" s="1" t="s">
        <v>766</v>
      </c>
      <c r="H290" s="1" t="s">
        <v>764</v>
      </c>
      <c r="I290" s="1" t="s">
        <v>765</v>
      </c>
      <c r="J290" s="1" t="s">
        <v>767</v>
      </c>
      <c r="M290" s="2" t="str">
        <f t="shared" ca="1" si="4"/>
        <v>D</v>
      </c>
      <c r="N290" s="1" t="s">
        <v>768</v>
      </c>
      <c r="O290" s="1" t="s">
        <v>413</v>
      </c>
      <c r="P290" s="1" t="s">
        <v>801</v>
      </c>
      <c r="Q290" s="1">
        <v>89</v>
      </c>
      <c r="R290" s="1">
        <v>0.9</v>
      </c>
    </row>
    <row r="291" spans="1:18" ht="75" x14ac:dyDescent="0.25">
      <c r="A291" s="1" t="s">
        <v>804</v>
      </c>
      <c r="B291" s="1" t="s">
        <v>12</v>
      </c>
      <c r="C291" s="1" t="s">
        <v>6</v>
      </c>
      <c r="D291" s="1" t="s">
        <v>16</v>
      </c>
      <c r="E291" s="1" t="s">
        <v>373</v>
      </c>
      <c r="F291" s="1" t="s">
        <v>373</v>
      </c>
      <c r="G291" s="1" t="s">
        <v>764</v>
      </c>
      <c r="H291" s="1" t="s">
        <v>766</v>
      </c>
      <c r="I291" s="1" t="s">
        <v>765</v>
      </c>
      <c r="J291" s="1" t="s">
        <v>767</v>
      </c>
      <c r="M291" s="2" t="str">
        <f t="shared" ca="1" si="4"/>
        <v>C</v>
      </c>
      <c r="N291" s="1" t="s">
        <v>768</v>
      </c>
      <c r="O291" s="1" t="s">
        <v>413</v>
      </c>
      <c r="P291" s="1" t="s">
        <v>801</v>
      </c>
      <c r="Q291" s="1">
        <v>153</v>
      </c>
      <c r="R291" s="1">
        <v>0.7</v>
      </c>
    </row>
    <row r="292" spans="1:18" ht="75" x14ac:dyDescent="0.25">
      <c r="A292" s="1" t="s">
        <v>805</v>
      </c>
      <c r="B292" s="1" t="s">
        <v>12</v>
      </c>
      <c r="C292" s="1" t="s">
        <v>6</v>
      </c>
      <c r="D292" s="1" t="s">
        <v>16</v>
      </c>
      <c r="E292" s="1" t="s">
        <v>373</v>
      </c>
      <c r="F292" s="1" t="s">
        <v>373</v>
      </c>
      <c r="G292" s="1" t="s">
        <v>764</v>
      </c>
      <c r="H292" s="1" t="s">
        <v>765</v>
      </c>
      <c r="I292" s="1" t="s">
        <v>767</v>
      </c>
      <c r="J292" s="1" t="s">
        <v>766</v>
      </c>
      <c r="M292" s="2" t="str">
        <f t="shared" ca="1" si="4"/>
        <v>D</v>
      </c>
      <c r="N292" s="1" t="s">
        <v>768</v>
      </c>
      <c r="O292" s="1" t="s">
        <v>413</v>
      </c>
      <c r="P292" s="1" t="s">
        <v>801</v>
      </c>
      <c r="Q292" s="1">
        <v>133</v>
      </c>
      <c r="R292" s="1">
        <v>0.9</v>
      </c>
    </row>
    <row r="293" spans="1:18" ht="75" x14ac:dyDescent="0.25">
      <c r="A293" s="1" t="s">
        <v>806</v>
      </c>
      <c r="B293" s="1" t="s">
        <v>12</v>
      </c>
      <c r="C293" s="1" t="s">
        <v>6</v>
      </c>
      <c r="D293" s="1" t="s">
        <v>16</v>
      </c>
      <c r="E293" s="1" t="s">
        <v>373</v>
      </c>
      <c r="F293" s="1" t="s">
        <v>373</v>
      </c>
      <c r="G293" s="1" t="s">
        <v>766</v>
      </c>
      <c r="H293" s="1" t="s">
        <v>767</v>
      </c>
      <c r="I293" s="1" t="s">
        <v>765</v>
      </c>
      <c r="J293" s="1" t="s">
        <v>764</v>
      </c>
      <c r="M293" s="2" t="str">
        <f t="shared" ca="1" si="4"/>
        <v>B</v>
      </c>
      <c r="N293" s="1" t="s">
        <v>768</v>
      </c>
      <c r="O293" s="1" t="s">
        <v>442</v>
      </c>
      <c r="P293" s="1" t="s">
        <v>801</v>
      </c>
      <c r="Q293" s="1">
        <v>80</v>
      </c>
      <c r="R293" s="1">
        <v>1</v>
      </c>
    </row>
    <row r="294" spans="1:18" ht="75" x14ac:dyDescent="0.25">
      <c r="A294" s="1" t="s">
        <v>807</v>
      </c>
      <c r="B294" s="1" t="s">
        <v>12</v>
      </c>
      <c r="C294" s="1" t="s">
        <v>6</v>
      </c>
      <c r="D294" s="1" t="s">
        <v>16</v>
      </c>
      <c r="E294" s="1" t="s">
        <v>373</v>
      </c>
      <c r="F294" s="1" t="s">
        <v>373</v>
      </c>
      <c r="G294" s="1" t="s">
        <v>767</v>
      </c>
      <c r="H294" s="1" t="s">
        <v>764</v>
      </c>
      <c r="I294" s="1" t="s">
        <v>765</v>
      </c>
      <c r="J294" s="1" t="s">
        <v>766</v>
      </c>
      <c r="M294" s="2" t="str">
        <f t="shared" ca="1" si="4"/>
        <v>A</v>
      </c>
      <c r="N294" s="1" t="s">
        <v>768</v>
      </c>
      <c r="O294" s="1" t="s">
        <v>421</v>
      </c>
      <c r="P294" s="1" t="s">
        <v>801</v>
      </c>
      <c r="Q294" s="1">
        <v>140</v>
      </c>
      <c r="R294" s="1">
        <v>0.9</v>
      </c>
    </row>
    <row r="295" spans="1:18" ht="75" x14ac:dyDescent="0.25">
      <c r="A295" s="1" t="s">
        <v>808</v>
      </c>
      <c r="B295" s="1" t="s">
        <v>12</v>
      </c>
      <c r="C295" s="1" t="s">
        <v>6</v>
      </c>
      <c r="D295" s="1" t="s">
        <v>16</v>
      </c>
      <c r="E295" s="1" t="s">
        <v>373</v>
      </c>
      <c r="F295" s="1" t="s">
        <v>373</v>
      </c>
      <c r="G295" s="1" t="s">
        <v>764</v>
      </c>
      <c r="H295" s="1" t="s">
        <v>766</v>
      </c>
      <c r="I295" s="1" t="s">
        <v>765</v>
      </c>
      <c r="J295" s="1" t="s">
        <v>767</v>
      </c>
      <c r="M295" s="2" t="str">
        <f t="shared" ca="1" si="4"/>
        <v>B</v>
      </c>
      <c r="N295" s="1" t="s">
        <v>768</v>
      </c>
      <c r="O295" s="1" t="s">
        <v>413</v>
      </c>
      <c r="P295" s="1" t="s">
        <v>801</v>
      </c>
      <c r="Q295" s="1">
        <v>163</v>
      </c>
      <c r="R295" s="1">
        <v>0.9</v>
      </c>
    </row>
    <row r="296" spans="1:18" ht="75" x14ac:dyDescent="0.25">
      <c r="A296" s="1" t="s">
        <v>809</v>
      </c>
      <c r="B296" s="1" t="s">
        <v>12</v>
      </c>
      <c r="C296" s="1" t="s">
        <v>6</v>
      </c>
      <c r="D296" s="1" t="s">
        <v>16</v>
      </c>
      <c r="E296" s="1" t="s">
        <v>373</v>
      </c>
      <c r="F296" s="1" t="s">
        <v>373</v>
      </c>
      <c r="G296" s="1" t="s">
        <v>767</v>
      </c>
      <c r="H296" s="1" t="s">
        <v>765</v>
      </c>
      <c r="I296" s="1" t="s">
        <v>764</v>
      </c>
      <c r="J296" s="1" t="s">
        <v>766</v>
      </c>
      <c r="M296" s="2" t="str">
        <f t="shared" ca="1" si="4"/>
        <v>A</v>
      </c>
      <c r="N296" s="1" t="s">
        <v>768</v>
      </c>
      <c r="O296" s="1" t="s">
        <v>421</v>
      </c>
      <c r="P296" s="1" t="s">
        <v>801</v>
      </c>
      <c r="Q296" s="1">
        <v>120</v>
      </c>
      <c r="R296" s="1">
        <v>0.6</v>
      </c>
    </row>
    <row r="297" spans="1:18" ht="75" x14ac:dyDescent="0.25">
      <c r="A297" s="1" t="s">
        <v>810</v>
      </c>
      <c r="B297" s="1" t="s">
        <v>12</v>
      </c>
      <c r="C297" s="1" t="s">
        <v>6</v>
      </c>
      <c r="D297" s="1" t="s">
        <v>16</v>
      </c>
      <c r="E297" s="1" t="s">
        <v>373</v>
      </c>
      <c r="F297" s="1" t="s">
        <v>373</v>
      </c>
      <c r="G297" s="1" t="s">
        <v>766</v>
      </c>
      <c r="H297" s="1" t="s">
        <v>764</v>
      </c>
      <c r="I297" s="1" t="s">
        <v>767</v>
      </c>
      <c r="J297" s="1" t="s">
        <v>765</v>
      </c>
      <c r="M297" s="2" t="str">
        <f t="shared" ca="1" si="4"/>
        <v>B</v>
      </c>
      <c r="N297" s="1" t="s">
        <v>768</v>
      </c>
      <c r="O297" s="1" t="s">
        <v>421</v>
      </c>
      <c r="P297" s="1" t="s">
        <v>801</v>
      </c>
      <c r="Q297" s="1">
        <v>106</v>
      </c>
      <c r="R297" s="1">
        <v>0.9</v>
      </c>
    </row>
    <row r="298" spans="1:18" ht="60" x14ac:dyDescent="0.25">
      <c r="A298" s="1" t="s">
        <v>811</v>
      </c>
      <c r="B298" s="1" t="s">
        <v>12</v>
      </c>
      <c r="C298" s="1" t="s">
        <v>6</v>
      </c>
      <c r="D298" s="1" t="s">
        <v>16</v>
      </c>
      <c r="E298" s="1" t="s">
        <v>374</v>
      </c>
      <c r="F298" s="1" t="s">
        <v>374</v>
      </c>
      <c r="G298" s="1" t="s">
        <v>766</v>
      </c>
      <c r="H298" s="1" t="s">
        <v>765</v>
      </c>
      <c r="I298" s="1" t="s">
        <v>764</v>
      </c>
      <c r="J298" s="1" t="s">
        <v>767</v>
      </c>
      <c r="M298" s="2" t="str">
        <f t="shared" ca="1" si="4"/>
        <v>B</v>
      </c>
      <c r="N298" s="1" t="s">
        <v>768</v>
      </c>
      <c r="O298" s="1" t="s">
        <v>421</v>
      </c>
      <c r="P298" s="1" t="s">
        <v>812</v>
      </c>
      <c r="Q298" s="1">
        <v>153</v>
      </c>
      <c r="R298" s="1">
        <v>0.7</v>
      </c>
    </row>
    <row r="299" spans="1:18" ht="60" x14ac:dyDescent="0.25">
      <c r="A299" s="1" t="s">
        <v>813</v>
      </c>
      <c r="B299" s="1" t="s">
        <v>12</v>
      </c>
      <c r="C299" s="1" t="s">
        <v>6</v>
      </c>
      <c r="D299" s="1" t="s">
        <v>16</v>
      </c>
      <c r="E299" s="1" t="s">
        <v>374</v>
      </c>
      <c r="F299" s="1" t="s">
        <v>374</v>
      </c>
      <c r="G299" s="1" t="s">
        <v>767</v>
      </c>
      <c r="H299" s="1" t="s">
        <v>766</v>
      </c>
      <c r="I299" s="1" t="s">
        <v>764</v>
      </c>
      <c r="J299" s="1" t="s">
        <v>765</v>
      </c>
      <c r="M299" s="2" t="str">
        <f t="shared" ca="1" si="4"/>
        <v>D</v>
      </c>
      <c r="N299" s="1" t="s">
        <v>768</v>
      </c>
      <c r="O299" s="1" t="s">
        <v>442</v>
      </c>
      <c r="P299" s="1" t="s">
        <v>812</v>
      </c>
      <c r="Q299" s="1">
        <v>96</v>
      </c>
      <c r="R299" s="1">
        <v>0.7</v>
      </c>
    </row>
    <row r="300" spans="1:18" ht="60" x14ac:dyDescent="0.25">
      <c r="A300" s="1" t="s">
        <v>814</v>
      </c>
      <c r="B300" s="1" t="s">
        <v>12</v>
      </c>
      <c r="C300" s="1" t="s">
        <v>6</v>
      </c>
      <c r="D300" s="1" t="s">
        <v>16</v>
      </c>
      <c r="E300" s="1" t="s">
        <v>374</v>
      </c>
      <c r="F300" s="1" t="s">
        <v>374</v>
      </c>
      <c r="G300" s="1" t="s">
        <v>764</v>
      </c>
      <c r="H300" s="1" t="s">
        <v>765</v>
      </c>
      <c r="I300" s="1" t="s">
        <v>766</v>
      </c>
      <c r="J300" s="1" t="s">
        <v>767</v>
      </c>
      <c r="M300" s="2" t="str">
        <f t="shared" ca="1" si="4"/>
        <v>D</v>
      </c>
      <c r="N300" s="1" t="s">
        <v>768</v>
      </c>
      <c r="O300" s="1" t="s">
        <v>442</v>
      </c>
      <c r="P300" s="1" t="s">
        <v>812</v>
      </c>
      <c r="Q300" s="1">
        <v>172</v>
      </c>
      <c r="R300" s="1">
        <v>0.7</v>
      </c>
    </row>
    <row r="301" spans="1:18" ht="60" x14ac:dyDescent="0.25">
      <c r="A301" s="1" t="s">
        <v>815</v>
      </c>
      <c r="B301" s="1" t="s">
        <v>12</v>
      </c>
      <c r="C301" s="1" t="s">
        <v>6</v>
      </c>
      <c r="D301" s="1" t="s">
        <v>16</v>
      </c>
      <c r="E301" s="1" t="s">
        <v>374</v>
      </c>
      <c r="F301" s="1" t="s">
        <v>374</v>
      </c>
      <c r="G301" s="1" t="s">
        <v>764</v>
      </c>
      <c r="H301" s="1" t="s">
        <v>766</v>
      </c>
      <c r="I301" s="1" t="s">
        <v>767</v>
      </c>
      <c r="J301" s="1" t="s">
        <v>765</v>
      </c>
      <c r="M301" s="2" t="str">
        <f t="shared" ca="1" si="4"/>
        <v>D</v>
      </c>
      <c r="N301" s="1" t="s">
        <v>768</v>
      </c>
      <c r="O301" s="1" t="s">
        <v>413</v>
      </c>
      <c r="P301" s="1" t="s">
        <v>812</v>
      </c>
      <c r="Q301" s="1">
        <v>87</v>
      </c>
      <c r="R301" s="1">
        <v>0.7</v>
      </c>
    </row>
    <row r="302" spans="1:18" ht="60" x14ac:dyDescent="0.25">
      <c r="A302" s="1" t="s">
        <v>816</v>
      </c>
      <c r="B302" s="1" t="s">
        <v>12</v>
      </c>
      <c r="C302" s="1" t="s">
        <v>6</v>
      </c>
      <c r="D302" s="1" t="s">
        <v>16</v>
      </c>
      <c r="E302" s="1" t="s">
        <v>374</v>
      </c>
      <c r="F302" s="1" t="s">
        <v>374</v>
      </c>
      <c r="G302" s="1" t="s">
        <v>764</v>
      </c>
      <c r="H302" s="1" t="s">
        <v>765</v>
      </c>
      <c r="I302" s="1" t="s">
        <v>766</v>
      </c>
      <c r="J302" s="1" t="s">
        <v>767</v>
      </c>
      <c r="M302" s="2" t="str">
        <f t="shared" ca="1" si="4"/>
        <v>A</v>
      </c>
      <c r="N302" s="1" t="s">
        <v>768</v>
      </c>
      <c r="O302" s="1" t="s">
        <v>413</v>
      </c>
      <c r="P302" s="1" t="s">
        <v>812</v>
      </c>
      <c r="Q302" s="1">
        <v>115</v>
      </c>
      <c r="R302" s="1">
        <v>0.6</v>
      </c>
    </row>
    <row r="303" spans="1:18" ht="60" x14ac:dyDescent="0.25">
      <c r="A303" s="1" t="s">
        <v>817</v>
      </c>
      <c r="B303" s="1" t="s">
        <v>12</v>
      </c>
      <c r="C303" s="1" t="s">
        <v>6</v>
      </c>
      <c r="D303" s="1" t="s">
        <v>16</v>
      </c>
      <c r="E303" s="1" t="s">
        <v>374</v>
      </c>
      <c r="F303" s="1" t="s">
        <v>374</v>
      </c>
      <c r="G303" s="1" t="s">
        <v>766</v>
      </c>
      <c r="H303" s="1" t="s">
        <v>764</v>
      </c>
      <c r="I303" s="1" t="s">
        <v>767</v>
      </c>
      <c r="J303" s="1" t="s">
        <v>765</v>
      </c>
      <c r="M303" s="2" t="str">
        <f t="shared" ca="1" si="4"/>
        <v>C</v>
      </c>
      <c r="N303" s="1" t="s">
        <v>768</v>
      </c>
      <c r="O303" s="1" t="s">
        <v>421</v>
      </c>
      <c r="P303" s="1" t="s">
        <v>812</v>
      </c>
      <c r="Q303" s="1">
        <v>114</v>
      </c>
      <c r="R303" s="1">
        <v>0.7</v>
      </c>
    </row>
    <row r="304" spans="1:18" ht="60" x14ac:dyDescent="0.25">
      <c r="A304" s="1" t="s">
        <v>818</v>
      </c>
      <c r="B304" s="1" t="s">
        <v>12</v>
      </c>
      <c r="C304" s="1" t="s">
        <v>6</v>
      </c>
      <c r="D304" s="1" t="s">
        <v>16</v>
      </c>
      <c r="E304" s="1" t="s">
        <v>374</v>
      </c>
      <c r="F304" s="1" t="s">
        <v>374</v>
      </c>
      <c r="G304" s="1" t="s">
        <v>765</v>
      </c>
      <c r="H304" s="1" t="s">
        <v>767</v>
      </c>
      <c r="I304" s="1" t="s">
        <v>764</v>
      </c>
      <c r="J304" s="1" t="s">
        <v>766</v>
      </c>
      <c r="M304" s="2" t="str">
        <f t="shared" ca="1" si="4"/>
        <v>B</v>
      </c>
      <c r="N304" s="1" t="s">
        <v>768</v>
      </c>
      <c r="O304" s="1" t="s">
        <v>442</v>
      </c>
      <c r="P304" s="1" t="s">
        <v>812</v>
      </c>
      <c r="Q304" s="1">
        <v>99</v>
      </c>
      <c r="R304" s="1">
        <v>0.7</v>
      </c>
    </row>
    <row r="305" spans="1:18" ht="60" x14ac:dyDescent="0.25">
      <c r="A305" s="1" t="s">
        <v>819</v>
      </c>
      <c r="B305" s="1" t="s">
        <v>12</v>
      </c>
      <c r="C305" s="1" t="s">
        <v>6</v>
      </c>
      <c r="D305" s="1" t="s">
        <v>16</v>
      </c>
      <c r="E305" s="1" t="s">
        <v>374</v>
      </c>
      <c r="F305" s="1" t="s">
        <v>374</v>
      </c>
      <c r="G305" s="1" t="s">
        <v>766</v>
      </c>
      <c r="H305" s="1" t="s">
        <v>764</v>
      </c>
      <c r="I305" s="1" t="s">
        <v>767</v>
      </c>
      <c r="J305" s="1" t="s">
        <v>765</v>
      </c>
      <c r="M305" s="2" t="str">
        <f t="shared" ca="1" si="4"/>
        <v>D</v>
      </c>
      <c r="N305" s="1" t="s">
        <v>768</v>
      </c>
      <c r="O305" s="1" t="s">
        <v>421</v>
      </c>
      <c r="P305" s="1" t="s">
        <v>812</v>
      </c>
      <c r="Q305" s="1">
        <v>140</v>
      </c>
      <c r="R305" s="1">
        <v>0.9</v>
      </c>
    </row>
    <row r="306" spans="1:18" ht="60" x14ac:dyDescent="0.25">
      <c r="A306" s="1" t="s">
        <v>820</v>
      </c>
      <c r="B306" s="1" t="s">
        <v>12</v>
      </c>
      <c r="C306" s="1" t="s">
        <v>6</v>
      </c>
      <c r="D306" s="1" t="s">
        <v>16</v>
      </c>
      <c r="E306" s="1" t="s">
        <v>374</v>
      </c>
      <c r="F306" s="1" t="s">
        <v>374</v>
      </c>
      <c r="G306" s="1" t="s">
        <v>767</v>
      </c>
      <c r="H306" s="1" t="s">
        <v>765</v>
      </c>
      <c r="I306" s="1" t="s">
        <v>766</v>
      </c>
      <c r="J306" s="1" t="s">
        <v>764</v>
      </c>
      <c r="M306" s="2" t="str">
        <f t="shared" ca="1" si="4"/>
        <v>B</v>
      </c>
      <c r="N306" s="1" t="s">
        <v>768</v>
      </c>
      <c r="O306" s="1" t="s">
        <v>442</v>
      </c>
      <c r="P306" s="1" t="s">
        <v>812</v>
      </c>
      <c r="Q306" s="1">
        <v>87</v>
      </c>
      <c r="R306" s="1">
        <v>0.9</v>
      </c>
    </row>
    <row r="307" spans="1:18" ht="60" x14ac:dyDescent="0.25">
      <c r="A307" s="1" t="s">
        <v>821</v>
      </c>
      <c r="B307" s="1" t="s">
        <v>12</v>
      </c>
      <c r="C307" s="1" t="s">
        <v>6</v>
      </c>
      <c r="D307" s="1" t="s">
        <v>16</v>
      </c>
      <c r="E307" s="1" t="s">
        <v>374</v>
      </c>
      <c r="F307" s="1" t="s">
        <v>374</v>
      </c>
      <c r="G307" s="1" t="s">
        <v>764</v>
      </c>
      <c r="H307" s="1" t="s">
        <v>765</v>
      </c>
      <c r="I307" s="1" t="s">
        <v>767</v>
      </c>
      <c r="J307" s="1" t="s">
        <v>766</v>
      </c>
      <c r="M307" s="2" t="str">
        <f t="shared" ca="1" si="4"/>
        <v>C</v>
      </c>
      <c r="N307" s="1" t="s">
        <v>768</v>
      </c>
      <c r="O307" s="1" t="s">
        <v>442</v>
      </c>
      <c r="P307" s="1" t="s">
        <v>812</v>
      </c>
      <c r="Q307" s="1">
        <v>110</v>
      </c>
      <c r="R307" s="1">
        <v>0.7</v>
      </c>
    </row>
  </sheetData>
  <autoFilter ref="A1:T307" xr:uid="{B50BA1B2-A2A0-43CA-A45C-69B9256BF234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4DD25E7-C7FB-444C-94DD-EA50B5CC5423}">
          <x14:formula1>
            <xm:f>lookups!$C$2:$C$3</xm:f>
          </x14:formula1>
          <xm:sqref>B2:B7 B14:B101</xm:sqref>
        </x14:dataValidation>
        <x14:dataValidation type="list" allowBlank="1" showInputMessage="1" showErrorMessage="1" xr:uid="{C3745A5F-A079-40F8-89D6-D2CBD53DE1B7}">
          <x14:formula1>
            <xm:f>lookups!$A$2:$A$7</xm:f>
          </x14:formula1>
          <xm:sqref>C2:C7 C14:C101</xm:sqref>
        </x14:dataValidation>
        <x14:dataValidation type="list" allowBlank="1" showInputMessage="1" showErrorMessage="1" xr:uid="{EDA5A3DB-F736-4A7F-BD94-30556C13E5D0}">
          <x14:formula1>
            <xm:f>lookups!$G$2:$G$117</xm:f>
          </x14:formula1>
          <xm:sqref>E2:E7 E14:E101</xm:sqref>
        </x14:dataValidation>
        <x14:dataValidation type="list" allowBlank="1" showInputMessage="1" showErrorMessage="1" xr:uid="{1CE0BA8D-60F5-4392-8D81-75B3DCD3988C}">
          <x14:formula1>
            <xm:f>lookups!$E$2:$E$6</xm:f>
          </x14:formula1>
          <xm:sqref>D2:D7 D14:D101</xm:sqref>
        </x14:dataValidation>
        <x14:dataValidation type="list" allowBlank="1" showInputMessage="1" showErrorMessage="1" xr:uid="{D9A4D77F-881D-4C85-B4B6-FD00BD6C9DF3}">
          <x14:formula1>
            <xm:f>lookups!$I$2:$I$300</xm:f>
          </x14:formula1>
          <xm:sqref>F2:F7 F14:F101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A76D9-2FFC-4EA2-A37E-2DE422530777}">
  <dimension ref="A1:L300"/>
  <sheetViews>
    <sheetView zoomScale="80" zoomScaleNormal="80" workbookViewId="0">
      <selection activeCell="C3" sqref="C3"/>
    </sheetView>
  </sheetViews>
  <sheetFormatPr defaultRowHeight="15" x14ac:dyDescent="0.25"/>
  <cols>
    <col min="1" max="1" width="14.28515625" bestFit="1" customWidth="1"/>
    <col min="3" max="3" width="13.42578125" bestFit="1" customWidth="1"/>
    <col min="5" max="5" width="10.5703125" customWidth="1"/>
    <col min="7" max="7" width="43.7109375" customWidth="1"/>
    <col min="8" max="8" width="33.7109375" customWidth="1"/>
    <col min="9" max="9" width="44" customWidth="1"/>
  </cols>
  <sheetData>
    <row r="1" spans="1:12" x14ac:dyDescent="0.25">
      <c r="A1" s="3" t="s">
        <v>10</v>
      </c>
      <c r="C1" s="3" t="s">
        <v>0</v>
      </c>
      <c r="E1" s="3" t="s">
        <v>1</v>
      </c>
      <c r="G1" s="3" t="s">
        <v>2</v>
      </c>
      <c r="I1" s="3" t="s">
        <v>3</v>
      </c>
    </row>
    <row r="2" spans="1:12" x14ac:dyDescent="0.25">
      <c r="A2" t="s">
        <v>6</v>
      </c>
      <c r="C2" t="s">
        <v>12</v>
      </c>
      <c r="E2" t="s">
        <v>13</v>
      </c>
      <c r="G2" s="10" t="s">
        <v>7</v>
      </c>
      <c r="I2" s="10" t="s">
        <v>8</v>
      </c>
    </row>
    <row r="3" spans="1:12" x14ac:dyDescent="0.25">
      <c r="A3" t="s">
        <v>9</v>
      </c>
      <c r="C3" t="s">
        <v>11</v>
      </c>
      <c r="E3" t="s">
        <v>14</v>
      </c>
      <c r="G3" s="10" t="s">
        <v>31</v>
      </c>
      <c r="I3" s="10" t="s">
        <v>54</v>
      </c>
      <c r="L3" s="4"/>
    </row>
    <row r="4" spans="1:12" x14ac:dyDescent="0.25">
      <c r="A4" t="s">
        <v>19</v>
      </c>
      <c r="E4" t="s">
        <v>15</v>
      </c>
      <c r="G4" s="10" t="s">
        <v>33</v>
      </c>
      <c r="I4" s="10" t="s">
        <v>39</v>
      </c>
    </row>
    <row r="5" spans="1:12" x14ac:dyDescent="0.25">
      <c r="A5" t="s">
        <v>20</v>
      </c>
      <c r="E5" t="s">
        <v>17</v>
      </c>
      <c r="G5" s="10" t="s">
        <v>32</v>
      </c>
      <c r="I5" s="10" t="s">
        <v>55</v>
      </c>
    </row>
    <row r="6" spans="1:12" x14ac:dyDescent="0.25">
      <c r="A6" t="s">
        <v>21</v>
      </c>
      <c r="E6" t="s">
        <v>18</v>
      </c>
      <c r="G6" s="10" t="s">
        <v>50</v>
      </c>
      <c r="I6" s="10" t="s">
        <v>56</v>
      </c>
    </row>
    <row r="7" spans="1:12" x14ac:dyDescent="0.25">
      <c r="A7" t="s">
        <v>22</v>
      </c>
      <c r="E7" t="s">
        <v>16</v>
      </c>
      <c r="G7" s="10" t="s">
        <v>36</v>
      </c>
      <c r="I7" s="10" t="s">
        <v>57</v>
      </c>
    </row>
    <row r="8" spans="1:12" x14ac:dyDescent="0.25">
      <c r="G8" s="10" t="s">
        <v>37</v>
      </c>
      <c r="I8" s="10" t="s">
        <v>58</v>
      </c>
    </row>
    <row r="9" spans="1:12" x14ac:dyDescent="0.25">
      <c r="G9" s="10" t="s">
        <v>34</v>
      </c>
      <c r="I9" s="10" t="s">
        <v>59</v>
      </c>
    </row>
    <row r="10" spans="1:12" x14ac:dyDescent="0.25">
      <c r="G10" s="10" t="s">
        <v>35</v>
      </c>
      <c r="I10" s="10" t="s">
        <v>60</v>
      </c>
    </row>
    <row r="11" spans="1:12" x14ac:dyDescent="0.25">
      <c r="G11" s="10" t="s">
        <v>51</v>
      </c>
      <c r="I11" s="10" t="s">
        <v>61</v>
      </c>
    </row>
    <row r="12" spans="1:12" x14ac:dyDescent="0.25">
      <c r="G12" s="10" t="s">
        <v>52</v>
      </c>
      <c r="I12" s="10" t="s">
        <v>62</v>
      </c>
    </row>
    <row r="13" spans="1:12" x14ac:dyDescent="0.25">
      <c r="G13" s="10" t="s">
        <v>53</v>
      </c>
      <c r="I13" s="10" t="s">
        <v>63</v>
      </c>
    </row>
    <row r="14" spans="1:12" x14ac:dyDescent="0.25">
      <c r="G14" s="6" t="s">
        <v>24</v>
      </c>
      <c r="I14" s="10" t="s">
        <v>38</v>
      </c>
    </row>
    <row r="15" spans="1:12" x14ac:dyDescent="0.25">
      <c r="G15" s="6" t="s">
        <v>25</v>
      </c>
      <c r="I15" s="10" t="s">
        <v>64</v>
      </c>
    </row>
    <row r="16" spans="1:12" x14ac:dyDescent="0.25">
      <c r="G16" s="6" t="s">
        <v>41</v>
      </c>
      <c r="I16" s="10" t="s">
        <v>65</v>
      </c>
    </row>
    <row r="17" spans="7:9" x14ac:dyDescent="0.25">
      <c r="G17" s="6" t="s">
        <v>42</v>
      </c>
      <c r="I17" s="10" t="s">
        <v>66</v>
      </c>
    </row>
    <row r="18" spans="7:9" x14ac:dyDescent="0.25">
      <c r="G18" s="6" t="s">
        <v>26</v>
      </c>
      <c r="I18" s="10" t="s">
        <v>67</v>
      </c>
    </row>
    <row r="19" spans="7:9" x14ac:dyDescent="0.25">
      <c r="G19" s="6" t="s">
        <v>27</v>
      </c>
      <c r="I19" s="10" t="s">
        <v>68</v>
      </c>
    </row>
    <row r="20" spans="7:9" x14ac:dyDescent="0.25">
      <c r="G20" s="6" t="s">
        <v>28</v>
      </c>
      <c r="I20" s="10" t="s">
        <v>69</v>
      </c>
    </row>
    <row r="21" spans="7:9" x14ac:dyDescent="0.25">
      <c r="G21" s="6" t="s">
        <v>23</v>
      </c>
      <c r="I21" s="10" t="s">
        <v>70</v>
      </c>
    </row>
    <row r="22" spans="7:9" x14ac:dyDescent="0.25">
      <c r="G22" s="6" t="s">
        <v>94</v>
      </c>
      <c r="I22" s="10" t="s">
        <v>71</v>
      </c>
    </row>
    <row r="23" spans="7:9" x14ac:dyDescent="0.25">
      <c r="G23" s="6" t="s">
        <v>29</v>
      </c>
      <c r="I23" s="10" t="s">
        <v>72</v>
      </c>
    </row>
    <row r="24" spans="7:9" x14ac:dyDescent="0.25">
      <c r="G24" s="6" t="s">
        <v>95</v>
      </c>
      <c r="I24" s="10" t="s">
        <v>73</v>
      </c>
    </row>
    <row r="25" spans="7:9" x14ac:dyDescent="0.25">
      <c r="G25" s="6" t="s">
        <v>96</v>
      </c>
      <c r="I25" s="10" t="s">
        <v>74</v>
      </c>
    </row>
    <row r="26" spans="7:9" x14ac:dyDescent="0.25">
      <c r="G26" s="6" t="s">
        <v>30</v>
      </c>
      <c r="I26" s="10" t="s">
        <v>75</v>
      </c>
    </row>
    <row r="27" spans="7:9" x14ac:dyDescent="0.25">
      <c r="G27" s="7" t="s">
        <v>118</v>
      </c>
      <c r="I27" s="10" t="s">
        <v>76</v>
      </c>
    </row>
    <row r="28" spans="7:9" x14ac:dyDescent="0.25">
      <c r="G28" s="7" t="s">
        <v>119</v>
      </c>
      <c r="I28" s="10" t="s">
        <v>77</v>
      </c>
    </row>
    <row r="29" spans="7:9" x14ac:dyDescent="0.25">
      <c r="G29" s="7" t="s">
        <v>120</v>
      </c>
      <c r="I29" s="10" t="s">
        <v>78</v>
      </c>
    </row>
    <row r="30" spans="7:9" x14ac:dyDescent="0.25">
      <c r="G30" s="7" t="s">
        <v>121</v>
      </c>
      <c r="I30" s="10" t="s">
        <v>79</v>
      </c>
    </row>
    <row r="31" spans="7:9" x14ac:dyDescent="0.25">
      <c r="G31" s="7" t="s">
        <v>122</v>
      </c>
      <c r="I31" s="10" t="s">
        <v>40</v>
      </c>
    </row>
    <row r="32" spans="7:9" x14ac:dyDescent="0.25">
      <c r="G32" s="7" t="s">
        <v>29</v>
      </c>
      <c r="I32" s="10" t="s">
        <v>80</v>
      </c>
    </row>
    <row r="33" spans="7:9" x14ac:dyDescent="0.25">
      <c r="G33" s="7" t="s">
        <v>123</v>
      </c>
      <c r="I33" s="10" t="s">
        <v>81</v>
      </c>
    </row>
    <row r="34" spans="7:9" x14ac:dyDescent="0.25">
      <c r="G34" s="7" t="s">
        <v>124</v>
      </c>
      <c r="I34" s="10" t="s">
        <v>82</v>
      </c>
    </row>
    <row r="35" spans="7:9" x14ac:dyDescent="0.25">
      <c r="G35" s="7" t="s">
        <v>125</v>
      </c>
      <c r="I35" s="10" t="s">
        <v>83</v>
      </c>
    </row>
    <row r="36" spans="7:9" x14ac:dyDescent="0.25">
      <c r="G36" s="7" t="s">
        <v>126</v>
      </c>
      <c r="I36" s="10" t="s">
        <v>84</v>
      </c>
    </row>
    <row r="37" spans="7:9" x14ac:dyDescent="0.25">
      <c r="G37" s="7" t="s">
        <v>127</v>
      </c>
      <c r="I37" s="10" t="s">
        <v>85</v>
      </c>
    </row>
    <row r="38" spans="7:9" x14ac:dyDescent="0.25">
      <c r="G38" s="7" t="s">
        <v>128</v>
      </c>
      <c r="I38" s="10" t="s">
        <v>86</v>
      </c>
    </row>
    <row r="39" spans="7:9" x14ac:dyDescent="0.25">
      <c r="G39" s="7" t="s">
        <v>129</v>
      </c>
      <c r="I39" s="10" t="s">
        <v>87</v>
      </c>
    </row>
    <row r="40" spans="7:9" x14ac:dyDescent="0.25">
      <c r="G40" s="7" t="s">
        <v>130</v>
      </c>
      <c r="I40" s="10" t="s">
        <v>88</v>
      </c>
    </row>
    <row r="41" spans="7:9" x14ac:dyDescent="0.25">
      <c r="G41" s="7" t="s">
        <v>131</v>
      </c>
      <c r="I41" s="10" t="s">
        <v>89</v>
      </c>
    </row>
    <row r="42" spans="7:9" x14ac:dyDescent="0.25">
      <c r="G42" s="7" t="s">
        <v>132</v>
      </c>
      <c r="I42" s="10" t="s">
        <v>90</v>
      </c>
    </row>
    <row r="43" spans="7:9" x14ac:dyDescent="0.25">
      <c r="G43" s="7" t="s">
        <v>133</v>
      </c>
      <c r="I43" s="10" t="s">
        <v>91</v>
      </c>
    </row>
    <row r="44" spans="7:9" x14ac:dyDescent="0.25">
      <c r="G44" s="7" t="s">
        <v>134</v>
      </c>
      <c r="I44" s="10" t="s">
        <v>92</v>
      </c>
    </row>
    <row r="45" spans="7:9" x14ac:dyDescent="0.25">
      <c r="G45" s="7" t="s">
        <v>135</v>
      </c>
      <c r="I45" s="10" t="s">
        <v>93</v>
      </c>
    </row>
    <row r="46" spans="7:9" x14ac:dyDescent="0.25">
      <c r="G46" s="7" t="s">
        <v>136</v>
      </c>
      <c r="I46" s="6" t="s">
        <v>97</v>
      </c>
    </row>
    <row r="47" spans="7:9" x14ac:dyDescent="0.25">
      <c r="G47" s="7" t="s">
        <v>137</v>
      </c>
      <c r="I47" s="6" t="s">
        <v>98</v>
      </c>
    </row>
    <row r="48" spans="7:9" x14ac:dyDescent="0.25">
      <c r="G48" s="7" t="s">
        <v>138</v>
      </c>
      <c r="I48" s="6" t="s">
        <v>446</v>
      </c>
    </row>
    <row r="49" spans="7:9" x14ac:dyDescent="0.25">
      <c r="G49" s="7" t="s">
        <v>139</v>
      </c>
      <c r="I49" s="6" t="s">
        <v>447</v>
      </c>
    </row>
    <row r="50" spans="7:9" x14ac:dyDescent="0.25">
      <c r="G50" s="7" t="s">
        <v>140</v>
      </c>
      <c r="I50" s="6" t="s">
        <v>448</v>
      </c>
    </row>
    <row r="51" spans="7:9" x14ac:dyDescent="0.25">
      <c r="G51" s="7" t="s">
        <v>141</v>
      </c>
      <c r="I51" s="6" t="s">
        <v>449</v>
      </c>
    </row>
    <row r="52" spans="7:9" x14ac:dyDescent="0.25">
      <c r="G52" s="7" t="s">
        <v>142</v>
      </c>
      <c r="I52" s="6" t="s">
        <v>99</v>
      </c>
    </row>
    <row r="53" spans="7:9" x14ac:dyDescent="0.25">
      <c r="G53" s="7" t="s">
        <v>143</v>
      </c>
      <c r="I53" s="6" t="s">
        <v>100</v>
      </c>
    </row>
    <row r="54" spans="7:9" x14ac:dyDescent="0.25">
      <c r="G54" s="7" t="s">
        <v>144</v>
      </c>
      <c r="I54" s="6" t="s">
        <v>101</v>
      </c>
    </row>
    <row r="55" spans="7:9" x14ac:dyDescent="0.25">
      <c r="G55" s="8" t="s">
        <v>252</v>
      </c>
      <c r="I55" s="6" t="s">
        <v>102</v>
      </c>
    </row>
    <row r="56" spans="7:9" x14ac:dyDescent="0.25">
      <c r="G56" s="8" t="s">
        <v>253</v>
      </c>
      <c r="I56" s="6" t="s">
        <v>103</v>
      </c>
    </row>
    <row r="57" spans="7:9" x14ac:dyDescent="0.25">
      <c r="G57" s="8" t="s">
        <v>254</v>
      </c>
      <c r="I57" s="6" t="s">
        <v>104</v>
      </c>
    </row>
    <row r="58" spans="7:9" x14ac:dyDescent="0.25">
      <c r="G58" s="8" t="s">
        <v>255</v>
      </c>
      <c r="I58" s="6" t="s">
        <v>105</v>
      </c>
    </row>
    <row r="59" spans="7:9" x14ac:dyDescent="0.25">
      <c r="G59" s="8" t="s">
        <v>256</v>
      </c>
      <c r="I59" s="6" t="s">
        <v>106</v>
      </c>
    </row>
    <row r="60" spans="7:9" x14ac:dyDescent="0.25">
      <c r="G60" s="8" t="s">
        <v>257</v>
      </c>
      <c r="I60" s="6" t="s">
        <v>107</v>
      </c>
    </row>
    <row r="61" spans="7:9" x14ac:dyDescent="0.25">
      <c r="G61" s="8" t="s">
        <v>258</v>
      </c>
      <c r="I61" s="6" t="s">
        <v>108</v>
      </c>
    </row>
    <row r="62" spans="7:9" x14ac:dyDescent="0.25">
      <c r="G62" s="8" t="s">
        <v>259</v>
      </c>
      <c r="I62" s="6" t="s">
        <v>43</v>
      </c>
    </row>
    <row r="63" spans="7:9" x14ac:dyDescent="0.25">
      <c r="G63" s="8" t="s">
        <v>260</v>
      </c>
      <c r="I63" s="6" t="s">
        <v>44</v>
      </c>
    </row>
    <row r="64" spans="7:9" x14ac:dyDescent="0.25">
      <c r="G64" s="8" t="s">
        <v>261</v>
      </c>
      <c r="I64" s="6" t="s">
        <v>109</v>
      </c>
    </row>
    <row r="65" spans="7:9" x14ac:dyDescent="0.25">
      <c r="G65" s="8" t="s">
        <v>262</v>
      </c>
      <c r="I65" s="6" t="s">
        <v>110</v>
      </c>
    </row>
    <row r="66" spans="7:9" x14ac:dyDescent="0.25">
      <c r="G66" s="8" t="s">
        <v>263</v>
      </c>
      <c r="I66" s="6" t="s">
        <v>111</v>
      </c>
    </row>
    <row r="67" spans="7:9" x14ac:dyDescent="0.25">
      <c r="G67" s="9" t="s">
        <v>293</v>
      </c>
      <c r="I67" s="6" t="s">
        <v>45</v>
      </c>
    </row>
    <row r="68" spans="7:9" x14ac:dyDescent="0.25">
      <c r="G68" s="9" t="s">
        <v>294</v>
      </c>
      <c r="I68" s="6" t="s">
        <v>46</v>
      </c>
    </row>
    <row r="69" spans="7:9" x14ac:dyDescent="0.25">
      <c r="G69" s="9" t="s">
        <v>295</v>
      </c>
      <c r="I69" s="6" t="s">
        <v>112</v>
      </c>
    </row>
    <row r="70" spans="7:9" x14ac:dyDescent="0.25">
      <c r="G70" s="9" t="s">
        <v>296</v>
      </c>
      <c r="I70" s="6" t="s">
        <v>113</v>
      </c>
    </row>
    <row r="71" spans="7:9" x14ac:dyDescent="0.25">
      <c r="G71" s="9" t="s">
        <v>297</v>
      </c>
      <c r="I71" s="6" t="s">
        <v>114</v>
      </c>
    </row>
    <row r="72" spans="7:9" x14ac:dyDescent="0.25">
      <c r="G72" s="9" t="s">
        <v>298</v>
      </c>
      <c r="I72" s="6" t="s">
        <v>115</v>
      </c>
    </row>
    <row r="73" spans="7:9" x14ac:dyDescent="0.25">
      <c r="G73" s="9" t="s">
        <v>299</v>
      </c>
      <c r="I73" s="6" t="s">
        <v>116</v>
      </c>
    </row>
    <row r="74" spans="7:9" x14ac:dyDescent="0.25">
      <c r="G74" s="9" t="s">
        <v>300</v>
      </c>
      <c r="I74" s="6" t="s">
        <v>47</v>
      </c>
    </row>
    <row r="75" spans="7:9" x14ac:dyDescent="0.25">
      <c r="G75" s="9" t="s">
        <v>301</v>
      </c>
      <c r="I75" s="6" t="s">
        <v>117</v>
      </c>
    </row>
    <row r="76" spans="7:9" x14ac:dyDescent="0.25">
      <c r="G76" s="9" t="s">
        <v>302</v>
      </c>
      <c r="I76" s="6" t="s">
        <v>48</v>
      </c>
    </row>
    <row r="77" spans="7:9" x14ac:dyDescent="0.25">
      <c r="G77" s="9" t="s">
        <v>303</v>
      </c>
      <c r="I77" s="6" t="s">
        <v>49</v>
      </c>
    </row>
    <row r="78" spans="7:9" x14ac:dyDescent="0.25">
      <c r="G78" s="9" t="s">
        <v>304</v>
      </c>
      <c r="I78" s="7" t="s">
        <v>145</v>
      </c>
    </row>
    <row r="79" spans="7:9" x14ac:dyDescent="0.25">
      <c r="G79" s="9" t="s">
        <v>305</v>
      </c>
      <c r="I79" s="7" t="s">
        <v>146</v>
      </c>
    </row>
    <row r="80" spans="7:9" x14ac:dyDescent="0.25">
      <c r="G80" s="9" t="s">
        <v>306</v>
      </c>
      <c r="I80" s="7" t="s">
        <v>147</v>
      </c>
    </row>
    <row r="81" spans="7:9" x14ac:dyDescent="0.25">
      <c r="G81" s="9" t="s">
        <v>307</v>
      </c>
      <c r="I81" s="7" t="s">
        <v>148</v>
      </c>
    </row>
    <row r="82" spans="7:9" x14ac:dyDescent="0.25">
      <c r="G82" s="9" t="s">
        <v>308</v>
      </c>
      <c r="I82" s="7" t="s">
        <v>149</v>
      </c>
    </row>
    <row r="83" spans="7:9" x14ac:dyDescent="0.25">
      <c r="G83" s="9" t="s">
        <v>309</v>
      </c>
      <c r="I83" s="7" t="s">
        <v>150</v>
      </c>
    </row>
    <row r="84" spans="7:9" x14ac:dyDescent="0.25">
      <c r="G84" s="9" t="s">
        <v>310</v>
      </c>
      <c r="I84" s="7" t="s">
        <v>151</v>
      </c>
    </row>
    <row r="85" spans="7:9" x14ac:dyDescent="0.25">
      <c r="G85" s="9" t="s">
        <v>311</v>
      </c>
      <c r="I85" s="7" t="s">
        <v>152</v>
      </c>
    </row>
    <row r="86" spans="7:9" x14ac:dyDescent="0.25">
      <c r="G86" s="9" t="s">
        <v>312</v>
      </c>
      <c r="I86" s="7" t="s">
        <v>153</v>
      </c>
    </row>
    <row r="87" spans="7:9" x14ac:dyDescent="0.25">
      <c r="G87" s="9" t="s">
        <v>313</v>
      </c>
      <c r="I87" s="7" t="s">
        <v>154</v>
      </c>
    </row>
    <row r="88" spans="7:9" x14ac:dyDescent="0.25">
      <c r="G88" s="9" t="s">
        <v>314</v>
      </c>
      <c r="I88" s="7" t="s">
        <v>155</v>
      </c>
    </row>
    <row r="89" spans="7:9" x14ac:dyDescent="0.25">
      <c r="G89" s="10" t="s">
        <v>370</v>
      </c>
      <c r="I89" s="7" t="s">
        <v>156</v>
      </c>
    </row>
    <row r="90" spans="7:9" x14ac:dyDescent="0.25">
      <c r="G90" s="10" t="s">
        <v>371</v>
      </c>
      <c r="I90" s="7" t="s">
        <v>157</v>
      </c>
    </row>
    <row r="91" spans="7:9" x14ac:dyDescent="0.25">
      <c r="G91" s="10" t="s">
        <v>372</v>
      </c>
      <c r="I91" s="7" t="s">
        <v>158</v>
      </c>
    </row>
    <row r="92" spans="7:9" x14ac:dyDescent="0.25">
      <c r="G92" s="10" t="s">
        <v>373</v>
      </c>
      <c r="I92" s="7" t="s">
        <v>159</v>
      </c>
    </row>
    <row r="93" spans="7:9" x14ac:dyDescent="0.25">
      <c r="G93" s="10" t="s">
        <v>374</v>
      </c>
      <c r="I93" s="7" t="s">
        <v>160</v>
      </c>
    </row>
    <row r="94" spans="7:9" x14ac:dyDescent="0.25">
      <c r="G94" s="10" t="s">
        <v>375</v>
      </c>
      <c r="I94" s="7" t="s">
        <v>161</v>
      </c>
    </row>
    <row r="95" spans="7:9" x14ac:dyDescent="0.25">
      <c r="G95" s="10" t="s">
        <v>376</v>
      </c>
      <c r="I95" s="7" t="s">
        <v>162</v>
      </c>
    </row>
    <row r="96" spans="7:9" x14ac:dyDescent="0.25">
      <c r="G96" s="10" t="s">
        <v>377</v>
      </c>
      <c r="I96" s="7" t="s">
        <v>163</v>
      </c>
    </row>
    <row r="97" spans="9:9" x14ac:dyDescent="0.25">
      <c r="I97" s="7" t="s">
        <v>164</v>
      </c>
    </row>
    <row r="98" spans="9:9" x14ac:dyDescent="0.25">
      <c r="I98" s="7" t="s">
        <v>165</v>
      </c>
    </row>
    <row r="99" spans="9:9" x14ac:dyDescent="0.25">
      <c r="I99" s="7" t="s">
        <v>166</v>
      </c>
    </row>
    <row r="100" spans="9:9" x14ac:dyDescent="0.25">
      <c r="I100" s="7" t="s">
        <v>167</v>
      </c>
    </row>
    <row r="101" spans="9:9" x14ac:dyDescent="0.25">
      <c r="I101" s="7" t="s">
        <v>168</v>
      </c>
    </row>
    <row r="102" spans="9:9" x14ac:dyDescent="0.25">
      <c r="I102" s="7" t="s">
        <v>169</v>
      </c>
    </row>
    <row r="103" spans="9:9" x14ac:dyDescent="0.25">
      <c r="I103" s="7" t="s">
        <v>170</v>
      </c>
    </row>
    <row r="104" spans="9:9" x14ac:dyDescent="0.25">
      <c r="I104" s="7" t="s">
        <v>171</v>
      </c>
    </row>
    <row r="105" spans="9:9" x14ac:dyDescent="0.25">
      <c r="I105" s="7" t="s">
        <v>172</v>
      </c>
    </row>
    <row r="106" spans="9:9" x14ac:dyDescent="0.25">
      <c r="I106" s="7" t="s">
        <v>173</v>
      </c>
    </row>
    <row r="107" spans="9:9" x14ac:dyDescent="0.25">
      <c r="I107" s="7" t="s">
        <v>174</v>
      </c>
    </row>
    <row r="108" spans="9:9" x14ac:dyDescent="0.25">
      <c r="I108" s="7" t="s">
        <v>175</v>
      </c>
    </row>
    <row r="109" spans="9:9" x14ac:dyDescent="0.25">
      <c r="I109" s="7" t="s">
        <v>176</v>
      </c>
    </row>
    <row r="110" spans="9:9" x14ac:dyDescent="0.25">
      <c r="I110" s="7" t="s">
        <v>177</v>
      </c>
    </row>
    <row r="111" spans="9:9" x14ac:dyDescent="0.25">
      <c r="I111" s="7" t="s">
        <v>178</v>
      </c>
    </row>
    <row r="112" spans="9:9" x14ac:dyDescent="0.25">
      <c r="I112" s="7" t="s">
        <v>179</v>
      </c>
    </row>
    <row r="113" spans="7:9" x14ac:dyDescent="0.25">
      <c r="I113" s="7" t="s">
        <v>180</v>
      </c>
    </row>
    <row r="114" spans="7:9" x14ac:dyDescent="0.25">
      <c r="I114" s="7" t="s">
        <v>181</v>
      </c>
    </row>
    <row r="115" spans="7:9" x14ac:dyDescent="0.25">
      <c r="I115" s="7" t="s">
        <v>182</v>
      </c>
    </row>
    <row r="116" spans="7:9" x14ac:dyDescent="0.25">
      <c r="I116" s="7" t="s">
        <v>183</v>
      </c>
    </row>
    <row r="117" spans="7:9" x14ac:dyDescent="0.25">
      <c r="G117" s="5"/>
      <c r="I117" s="7" t="s">
        <v>184</v>
      </c>
    </row>
    <row r="118" spans="7:9" x14ac:dyDescent="0.25">
      <c r="I118" s="7" t="s">
        <v>185</v>
      </c>
    </row>
    <row r="119" spans="7:9" x14ac:dyDescent="0.25">
      <c r="I119" s="7" t="s">
        <v>186</v>
      </c>
    </row>
    <row r="120" spans="7:9" x14ac:dyDescent="0.25">
      <c r="I120" s="7" t="s">
        <v>187</v>
      </c>
    </row>
    <row r="121" spans="7:9" x14ac:dyDescent="0.25">
      <c r="I121" s="7" t="s">
        <v>188</v>
      </c>
    </row>
    <row r="122" spans="7:9" x14ac:dyDescent="0.25">
      <c r="I122" s="7" t="s">
        <v>189</v>
      </c>
    </row>
    <row r="123" spans="7:9" x14ac:dyDescent="0.25">
      <c r="I123" s="7" t="s">
        <v>190</v>
      </c>
    </row>
    <row r="124" spans="7:9" x14ac:dyDescent="0.25">
      <c r="I124" s="7" t="s">
        <v>191</v>
      </c>
    </row>
    <row r="125" spans="7:9" x14ac:dyDescent="0.25">
      <c r="I125" s="7" t="s">
        <v>192</v>
      </c>
    </row>
    <row r="126" spans="7:9" x14ac:dyDescent="0.25">
      <c r="I126" s="7" t="s">
        <v>193</v>
      </c>
    </row>
    <row r="127" spans="7:9" x14ac:dyDescent="0.25">
      <c r="I127" s="7" t="s">
        <v>194</v>
      </c>
    </row>
    <row r="128" spans="7:9" x14ac:dyDescent="0.25">
      <c r="I128" s="7" t="s">
        <v>195</v>
      </c>
    </row>
    <row r="129" spans="9:9" x14ac:dyDescent="0.25">
      <c r="I129" s="7" t="s">
        <v>196</v>
      </c>
    </row>
    <row r="130" spans="9:9" x14ac:dyDescent="0.25">
      <c r="I130" s="7" t="s">
        <v>197</v>
      </c>
    </row>
    <row r="131" spans="9:9" x14ac:dyDescent="0.25">
      <c r="I131" s="7" t="s">
        <v>198</v>
      </c>
    </row>
    <row r="132" spans="9:9" x14ac:dyDescent="0.25">
      <c r="I132" s="7" t="s">
        <v>199</v>
      </c>
    </row>
    <row r="133" spans="9:9" x14ac:dyDescent="0.25">
      <c r="I133" s="7" t="s">
        <v>200</v>
      </c>
    </row>
    <row r="134" spans="9:9" x14ac:dyDescent="0.25">
      <c r="I134" s="7" t="s">
        <v>201</v>
      </c>
    </row>
    <row r="135" spans="9:9" x14ac:dyDescent="0.25">
      <c r="I135" s="7" t="s">
        <v>202</v>
      </c>
    </row>
    <row r="136" spans="9:9" x14ac:dyDescent="0.25">
      <c r="I136" s="7" t="s">
        <v>203</v>
      </c>
    </row>
    <row r="137" spans="9:9" x14ac:dyDescent="0.25">
      <c r="I137" s="7" t="s">
        <v>204</v>
      </c>
    </row>
    <row r="138" spans="9:9" x14ac:dyDescent="0.25">
      <c r="I138" s="7" t="s">
        <v>205</v>
      </c>
    </row>
    <row r="139" spans="9:9" x14ac:dyDescent="0.25">
      <c r="I139" s="7" t="s">
        <v>206</v>
      </c>
    </row>
    <row r="140" spans="9:9" x14ac:dyDescent="0.25">
      <c r="I140" s="7" t="s">
        <v>207</v>
      </c>
    </row>
    <row r="141" spans="9:9" x14ac:dyDescent="0.25">
      <c r="I141" s="7" t="s">
        <v>208</v>
      </c>
    </row>
    <row r="142" spans="9:9" x14ac:dyDescent="0.25">
      <c r="I142" s="7" t="s">
        <v>209</v>
      </c>
    </row>
    <row r="143" spans="9:9" x14ac:dyDescent="0.25">
      <c r="I143" s="7" t="s">
        <v>210</v>
      </c>
    </row>
    <row r="144" spans="9:9" x14ac:dyDescent="0.25">
      <c r="I144" s="7" t="s">
        <v>211</v>
      </c>
    </row>
    <row r="145" spans="9:9" x14ac:dyDescent="0.25">
      <c r="I145" s="7" t="s">
        <v>212</v>
      </c>
    </row>
    <row r="146" spans="9:9" x14ac:dyDescent="0.25">
      <c r="I146" s="7" t="s">
        <v>213</v>
      </c>
    </row>
    <row r="147" spans="9:9" x14ac:dyDescent="0.25">
      <c r="I147" s="7" t="s">
        <v>214</v>
      </c>
    </row>
    <row r="148" spans="9:9" x14ac:dyDescent="0.25">
      <c r="I148" s="7" t="s">
        <v>215</v>
      </c>
    </row>
    <row r="149" spans="9:9" x14ac:dyDescent="0.25">
      <c r="I149" s="7" t="s">
        <v>216</v>
      </c>
    </row>
    <row r="150" spans="9:9" x14ac:dyDescent="0.25">
      <c r="I150" s="7" t="s">
        <v>217</v>
      </c>
    </row>
    <row r="151" spans="9:9" x14ac:dyDescent="0.25">
      <c r="I151" s="7" t="s">
        <v>218</v>
      </c>
    </row>
    <row r="152" spans="9:9" x14ac:dyDescent="0.25">
      <c r="I152" s="7" t="s">
        <v>219</v>
      </c>
    </row>
    <row r="153" spans="9:9" x14ac:dyDescent="0.25">
      <c r="I153" s="7" t="s">
        <v>220</v>
      </c>
    </row>
    <row r="154" spans="9:9" x14ac:dyDescent="0.25">
      <c r="I154" s="7" t="s">
        <v>221</v>
      </c>
    </row>
    <row r="155" spans="9:9" x14ac:dyDescent="0.25">
      <c r="I155" s="7" t="s">
        <v>222</v>
      </c>
    </row>
    <row r="156" spans="9:9" x14ac:dyDescent="0.25">
      <c r="I156" s="7" t="s">
        <v>223</v>
      </c>
    </row>
    <row r="157" spans="9:9" x14ac:dyDescent="0.25">
      <c r="I157" s="7" t="s">
        <v>224</v>
      </c>
    </row>
    <row r="158" spans="9:9" x14ac:dyDescent="0.25">
      <c r="I158" s="7" t="s">
        <v>225</v>
      </c>
    </row>
    <row r="159" spans="9:9" x14ac:dyDescent="0.25">
      <c r="I159" s="7" t="s">
        <v>226</v>
      </c>
    </row>
    <row r="160" spans="9:9" x14ac:dyDescent="0.25">
      <c r="I160" s="7" t="s">
        <v>227</v>
      </c>
    </row>
    <row r="161" spans="9:9" x14ac:dyDescent="0.25">
      <c r="I161" s="7" t="s">
        <v>228</v>
      </c>
    </row>
    <row r="162" spans="9:9" x14ac:dyDescent="0.25">
      <c r="I162" s="7" t="s">
        <v>229</v>
      </c>
    </row>
    <row r="163" spans="9:9" x14ac:dyDescent="0.25">
      <c r="I163" s="7" t="s">
        <v>230</v>
      </c>
    </row>
    <row r="164" spans="9:9" x14ac:dyDescent="0.25">
      <c r="I164" s="7" t="s">
        <v>231</v>
      </c>
    </row>
    <row r="165" spans="9:9" x14ac:dyDescent="0.25">
      <c r="I165" s="7" t="s">
        <v>232</v>
      </c>
    </row>
    <row r="166" spans="9:9" x14ac:dyDescent="0.25">
      <c r="I166" s="7" t="s">
        <v>233</v>
      </c>
    </row>
    <row r="167" spans="9:9" x14ac:dyDescent="0.25">
      <c r="I167" s="7" t="s">
        <v>234</v>
      </c>
    </row>
    <row r="168" spans="9:9" x14ac:dyDescent="0.25">
      <c r="I168" s="7" t="s">
        <v>235</v>
      </c>
    </row>
    <row r="169" spans="9:9" x14ac:dyDescent="0.25">
      <c r="I169" s="7" t="s">
        <v>236</v>
      </c>
    </row>
    <row r="170" spans="9:9" x14ac:dyDescent="0.25">
      <c r="I170" s="7" t="s">
        <v>237</v>
      </c>
    </row>
    <row r="171" spans="9:9" x14ac:dyDescent="0.25">
      <c r="I171" s="7" t="s">
        <v>238</v>
      </c>
    </row>
    <row r="172" spans="9:9" x14ac:dyDescent="0.25">
      <c r="I172" s="7" t="s">
        <v>239</v>
      </c>
    </row>
    <row r="173" spans="9:9" x14ac:dyDescent="0.25">
      <c r="I173" s="7" t="s">
        <v>240</v>
      </c>
    </row>
    <row r="174" spans="9:9" x14ac:dyDescent="0.25">
      <c r="I174" s="7" t="s">
        <v>241</v>
      </c>
    </row>
    <row r="175" spans="9:9" x14ac:dyDescent="0.25">
      <c r="I175" s="7" t="s">
        <v>242</v>
      </c>
    </row>
    <row r="176" spans="9:9" x14ac:dyDescent="0.25">
      <c r="I176" s="7" t="s">
        <v>243</v>
      </c>
    </row>
    <row r="177" spans="9:9" x14ac:dyDescent="0.25">
      <c r="I177" s="7" t="s">
        <v>244</v>
      </c>
    </row>
    <row r="178" spans="9:9" x14ac:dyDescent="0.25">
      <c r="I178" s="7" t="s">
        <v>245</v>
      </c>
    </row>
    <row r="179" spans="9:9" x14ac:dyDescent="0.25">
      <c r="I179" s="7" t="s">
        <v>246</v>
      </c>
    </row>
    <row r="180" spans="9:9" x14ac:dyDescent="0.25">
      <c r="I180" s="7" t="s">
        <v>247</v>
      </c>
    </row>
    <row r="181" spans="9:9" x14ac:dyDescent="0.25">
      <c r="I181" s="7" t="s">
        <v>248</v>
      </c>
    </row>
    <row r="182" spans="9:9" x14ac:dyDescent="0.25">
      <c r="I182" s="7" t="s">
        <v>249</v>
      </c>
    </row>
    <row r="183" spans="9:9" x14ac:dyDescent="0.25">
      <c r="I183" s="7" t="s">
        <v>250</v>
      </c>
    </row>
    <row r="184" spans="9:9" x14ac:dyDescent="0.25">
      <c r="I184" s="7" t="s">
        <v>251</v>
      </c>
    </row>
    <row r="185" spans="9:9" x14ac:dyDescent="0.25">
      <c r="I185" s="8" t="s">
        <v>264</v>
      </c>
    </row>
    <row r="186" spans="9:9" x14ac:dyDescent="0.25">
      <c r="I186" s="8" t="s">
        <v>265</v>
      </c>
    </row>
    <row r="187" spans="9:9" x14ac:dyDescent="0.25">
      <c r="I187" s="8" t="s">
        <v>266</v>
      </c>
    </row>
    <row r="188" spans="9:9" x14ac:dyDescent="0.25">
      <c r="I188" s="8" t="s">
        <v>267</v>
      </c>
    </row>
    <row r="189" spans="9:9" x14ac:dyDescent="0.25">
      <c r="I189" s="8" t="s">
        <v>268</v>
      </c>
    </row>
    <row r="190" spans="9:9" x14ac:dyDescent="0.25">
      <c r="I190" s="8" t="s">
        <v>269</v>
      </c>
    </row>
    <row r="191" spans="9:9" x14ac:dyDescent="0.25">
      <c r="I191" s="8" t="s">
        <v>270</v>
      </c>
    </row>
    <row r="192" spans="9:9" x14ac:dyDescent="0.25">
      <c r="I192" s="8" t="s">
        <v>271</v>
      </c>
    </row>
    <row r="193" spans="9:9" x14ac:dyDescent="0.25">
      <c r="I193" s="8" t="s">
        <v>272</v>
      </c>
    </row>
    <row r="194" spans="9:9" x14ac:dyDescent="0.25">
      <c r="I194" s="8" t="s">
        <v>273</v>
      </c>
    </row>
    <row r="195" spans="9:9" x14ac:dyDescent="0.25">
      <c r="I195" s="8" t="s">
        <v>274</v>
      </c>
    </row>
    <row r="196" spans="9:9" x14ac:dyDescent="0.25">
      <c r="I196" s="8" t="s">
        <v>275</v>
      </c>
    </row>
    <row r="197" spans="9:9" x14ac:dyDescent="0.25">
      <c r="I197" s="8" t="s">
        <v>276</v>
      </c>
    </row>
    <row r="198" spans="9:9" x14ac:dyDescent="0.25">
      <c r="I198" s="8" t="s">
        <v>277</v>
      </c>
    </row>
    <row r="199" spans="9:9" x14ac:dyDescent="0.25">
      <c r="I199" s="8" t="s">
        <v>278</v>
      </c>
    </row>
    <row r="200" spans="9:9" x14ac:dyDescent="0.25">
      <c r="I200" s="8" t="s">
        <v>279</v>
      </c>
    </row>
    <row r="201" spans="9:9" x14ac:dyDescent="0.25">
      <c r="I201" s="8" t="s">
        <v>280</v>
      </c>
    </row>
    <row r="202" spans="9:9" x14ac:dyDescent="0.25">
      <c r="I202" s="8" t="s">
        <v>281</v>
      </c>
    </row>
    <row r="203" spans="9:9" x14ac:dyDescent="0.25">
      <c r="I203" s="8" t="s">
        <v>282</v>
      </c>
    </row>
    <row r="204" spans="9:9" x14ac:dyDescent="0.25">
      <c r="I204" s="8" t="s">
        <v>283</v>
      </c>
    </row>
    <row r="205" spans="9:9" x14ac:dyDescent="0.25">
      <c r="I205" s="8" t="s">
        <v>284</v>
      </c>
    </row>
    <row r="206" spans="9:9" x14ac:dyDescent="0.25">
      <c r="I206" s="8" t="s">
        <v>285</v>
      </c>
    </row>
    <row r="207" spans="9:9" x14ac:dyDescent="0.25">
      <c r="I207" s="8" t="s">
        <v>286</v>
      </c>
    </row>
    <row r="208" spans="9:9" x14ac:dyDescent="0.25">
      <c r="I208" s="8" t="s">
        <v>287</v>
      </c>
    </row>
    <row r="209" spans="9:9" x14ac:dyDescent="0.25">
      <c r="I209" s="8" t="s">
        <v>288</v>
      </c>
    </row>
    <row r="210" spans="9:9" x14ac:dyDescent="0.25">
      <c r="I210" s="8" t="s">
        <v>289</v>
      </c>
    </row>
    <row r="211" spans="9:9" x14ac:dyDescent="0.25">
      <c r="I211" s="8" t="s">
        <v>290</v>
      </c>
    </row>
    <row r="212" spans="9:9" x14ac:dyDescent="0.25">
      <c r="I212" s="8" t="s">
        <v>291</v>
      </c>
    </row>
    <row r="213" spans="9:9" x14ac:dyDescent="0.25">
      <c r="I213" s="8" t="s">
        <v>292</v>
      </c>
    </row>
    <row r="214" spans="9:9" x14ac:dyDescent="0.25">
      <c r="I214" s="9" t="s">
        <v>315</v>
      </c>
    </row>
    <row r="215" spans="9:9" x14ac:dyDescent="0.25">
      <c r="I215" s="9" t="s">
        <v>316</v>
      </c>
    </row>
    <row r="216" spans="9:9" x14ac:dyDescent="0.25">
      <c r="I216" s="9" t="s">
        <v>317</v>
      </c>
    </row>
    <row r="217" spans="9:9" x14ac:dyDescent="0.25">
      <c r="I217" s="9" t="s">
        <v>318</v>
      </c>
    </row>
    <row r="218" spans="9:9" x14ac:dyDescent="0.25">
      <c r="I218" s="9" t="s">
        <v>319</v>
      </c>
    </row>
    <row r="219" spans="9:9" x14ac:dyDescent="0.25">
      <c r="I219" s="9" t="s">
        <v>320</v>
      </c>
    </row>
    <row r="220" spans="9:9" x14ac:dyDescent="0.25">
      <c r="I220" s="9" t="s">
        <v>321</v>
      </c>
    </row>
    <row r="221" spans="9:9" x14ac:dyDescent="0.25">
      <c r="I221" s="9" t="s">
        <v>322</v>
      </c>
    </row>
    <row r="222" spans="9:9" x14ac:dyDescent="0.25">
      <c r="I222" s="9" t="s">
        <v>323</v>
      </c>
    </row>
    <row r="223" spans="9:9" x14ac:dyDescent="0.25">
      <c r="I223" s="9" t="s">
        <v>324</v>
      </c>
    </row>
    <row r="224" spans="9:9" x14ac:dyDescent="0.25">
      <c r="I224" s="9" t="s">
        <v>325</v>
      </c>
    </row>
    <row r="225" spans="9:9" x14ac:dyDescent="0.25">
      <c r="I225" s="9" t="s">
        <v>326</v>
      </c>
    </row>
    <row r="226" spans="9:9" x14ac:dyDescent="0.25">
      <c r="I226" s="9" t="s">
        <v>327</v>
      </c>
    </row>
    <row r="227" spans="9:9" x14ac:dyDescent="0.25">
      <c r="I227" s="9" t="s">
        <v>328</v>
      </c>
    </row>
    <row r="228" spans="9:9" x14ac:dyDescent="0.25">
      <c r="I228" s="9" t="s">
        <v>329</v>
      </c>
    </row>
    <row r="229" spans="9:9" x14ac:dyDescent="0.25">
      <c r="I229" s="9" t="s">
        <v>330</v>
      </c>
    </row>
    <row r="230" spans="9:9" x14ac:dyDescent="0.25">
      <c r="I230" s="9" t="s">
        <v>331</v>
      </c>
    </row>
    <row r="231" spans="9:9" x14ac:dyDescent="0.25">
      <c r="I231" s="9" t="s">
        <v>332</v>
      </c>
    </row>
    <row r="232" spans="9:9" x14ac:dyDescent="0.25">
      <c r="I232" s="9" t="s">
        <v>333</v>
      </c>
    </row>
    <row r="233" spans="9:9" x14ac:dyDescent="0.25">
      <c r="I233" s="9" t="s">
        <v>334</v>
      </c>
    </row>
    <row r="234" spans="9:9" x14ac:dyDescent="0.25">
      <c r="I234" s="9" t="s">
        <v>335</v>
      </c>
    </row>
    <row r="235" spans="9:9" x14ac:dyDescent="0.25">
      <c r="I235" s="9" t="s">
        <v>336</v>
      </c>
    </row>
    <row r="236" spans="9:9" x14ac:dyDescent="0.25">
      <c r="I236" s="9" t="s">
        <v>337</v>
      </c>
    </row>
    <row r="237" spans="9:9" x14ac:dyDescent="0.25">
      <c r="I237" s="9" t="s">
        <v>338</v>
      </c>
    </row>
    <row r="238" spans="9:9" x14ac:dyDescent="0.25">
      <c r="I238" s="9" t="s">
        <v>339</v>
      </c>
    </row>
    <row r="239" spans="9:9" x14ac:dyDescent="0.25">
      <c r="I239" s="9" t="s">
        <v>340</v>
      </c>
    </row>
    <row r="240" spans="9:9" x14ac:dyDescent="0.25">
      <c r="I240" s="9" t="s">
        <v>341</v>
      </c>
    </row>
    <row r="241" spans="9:9" x14ac:dyDescent="0.25">
      <c r="I241" s="9" t="s">
        <v>342</v>
      </c>
    </row>
    <row r="242" spans="9:9" x14ac:dyDescent="0.25">
      <c r="I242" s="9" t="s">
        <v>343</v>
      </c>
    </row>
    <row r="243" spans="9:9" x14ac:dyDescent="0.25">
      <c r="I243" s="9" t="s">
        <v>344</v>
      </c>
    </row>
    <row r="244" spans="9:9" x14ac:dyDescent="0.25">
      <c r="I244" s="9" t="s">
        <v>345</v>
      </c>
    </row>
    <row r="245" spans="9:9" x14ac:dyDescent="0.25">
      <c r="I245" s="9" t="s">
        <v>346</v>
      </c>
    </row>
    <row r="246" spans="9:9" x14ac:dyDescent="0.25">
      <c r="I246" s="9" t="s">
        <v>347</v>
      </c>
    </row>
    <row r="247" spans="9:9" x14ac:dyDescent="0.25">
      <c r="I247" s="9" t="s">
        <v>348</v>
      </c>
    </row>
    <row r="248" spans="9:9" x14ac:dyDescent="0.25">
      <c r="I248" s="9" t="s">
        <v>349</v>
      </c>
    </row>
    <row r="249" spans="9:9" x14ac:dyDescent="0.25">
      <c r="I249" s="9" t="s">
        <v>350</v>
      </c>
    </row>
    <row r="250" spans="9:9" x14ac:dyDescent="0.25">
      <c r="I250" s="9" t="s">
        <v>351</v>
      </c>
    </row>
    <row r="251" spans="9:9" x14ac:dyDescent="0.25">
      <c r="I251" s="9" t="s">
        <v>352</v>
      </c>
    </row>
    <row r="252" spans="9:9" x14ac:dyDescent="0.25">
      <c r="I252" s="9" t="s">
        <v>353</v>
      </c>
    </row>
    <row r="253" spans="9:9" x14ac:dyDescent="0.25">
      <c r="I253" s="9" t="s">
        <v>354</v>
      </c>
    </row>
    <row r="254" spans="9:9" x14ac:dyDescent="0.25">
      <c r="I254" s="9" t="s">
        <v>355</v>
      </c>
    </row>
    <row r="255" spans="9:9" x14ac:dyDescent="0.25">
      <c r="I255" s="9" t="s">
        <v>356</v>
      </c>
    </row>
    <row r="256" spans="9:9" x14ac:dyDescent="0.25">
      <c r="I256" s="9" t="s">
        <v>357</v>
      </c>
    </row>
    <row r="257" spans="9:9" x14ac:dyDescent="0.25">
      <c r="I257" s="9" t="s">
        <v>358</v>
      </c>
    </row>
    <row r="258" spans="9:9" x14ac:dyDescent="0.25">
      <c r="I258" s="9" t="s">
        <v>359</v>
      </c>
    </row>
    <row r="259" spans="9:9" x14ac:dyDescent="0.25">
      <c r="I259" s="9" t="s">
        <v>360</v>
      </c>
    </row>
    <row r="260" spans="9:9" x14ac:dyDescent="0.25">
      <c r="I260" s="9" t="s">
        <v>361</v>
      </c>
    </row>
    <row r="261" spans="9:9" x14ac:dyDescent="0.25">
      <c r="I261" s="9" t="s">
        <v>362</v>
      </c>
    </row>
    <row r="262" spans="9:9" x14ac:dyDescent="0.25">
      <c r="I262" s="9" t="s">
        <v>363</v>
      </c>
    </row>
    <row r="263" spans="9:9" x14ac:dyDescent="0.25">
      <c r="I263" s="9" t="s">
        <v>364</v>
      </c>
    </row>
    <row r="264" spans="9:9" x14ac:dyDescent="0.25">
      <c r="I264" s="9" t="s">
        <v>365</v>
      </c>
    </row>
    <row r="265" spans="9:9" x14ac:dyDescent="0.25">
      <c r="I265" s="9" t="s">
        <v>366</v>
      </c>
    </row>
    <row r="266" spans="9:9" x14ac:dyDescent="0.25">
      <c r="I266" s="9" t="s">
        <v>367</v>
      </c>
    </row>
    <row r="267" spans="9:9" x14ac:dyDescent="0.25">
      <c r="I267" s="9" t="s">
        <v>368</v>
      </c>
    </row>
    <row r="268" spans="9:9" x14ac:dyDescent="0.25">
      <c r="I268" s="9" t="s">
        <v>369</v>
      </c>
    </row>
    <row r="269" spans="9:9" x14ac:dyDescent="0.25">
      <c r="I269" s="10" t="s">
        <v>378</v>
      </c>
    </row>
    <row r="270" spans="9:9" x14ac:dyDescent="0.25">
      <c r="I270" s="10" t="s">
        <v>379</v>
      </c>
    </row>
    <row r="271" spans="9:9" x14ac:dyDescent="0.25">
      <c r="I271" s="10" t="s">
        <v>380</v>
      </c>
    </row>
    <row r="272" spans="9:9" x14ac:dyDescent="0.25">
      <c r="I272" s="10" t="s">
        <v>381</v>
      </c>
    </row>
    <row r="273" spans="9:9" x14ac:dyDescent="0.25">
      <c r="I273" s="10" t="s">
        <v>382</v>
      </c>
    </row>
    <row r="274" spans="9:9" x14ac:dyDescent="0.25">
      <c r="I274" s="10" t="s">
        <v>383</v>
      </c>
    </row>
    <row r="275" spans="9:9" x14ac:dyDescent="0.25">
      <c r="I275" s="10" t="s">
        <v>384</v>
      </c>
    </row>
    <row r="276" spans="9:9" x14ac:dyDescent="0.25">
      <c r="I276" s="10" t="s">
        <v>385</v>
      </c>
    </row>
    <row r="277" spans="9:9" x14ac:dyDescent="0.25">
      <c r="I277" s="10" t="s">
        <v>386</v>
      </c>
    </row>
    <row r="278" spans="9:9" x14ac:dyDescent="0.25">
      <c r="I278" s="10" t="s">
        <v>387</v>
      </c>
    </row>
    <row r="279" spans="9:9" x14ac:dyDescent="0.25">
      <c r="I279" s="10" t="s">
        <v>388</v>
      </c>
    </row>
    <row r="280" spans="9:9" x14ac:dyDescent="0.25">
      <c r="I280" s="10" t="s">
        <v>389</v>
      </c>
    </row>
    <row r="281" spans="9:9" x14ac:dyDescent="0.25">
      <c r="I281" s="10" t="s">
        <v>390</v>
      </c>
    </row>
    <row r="282" spans="9:9" x14ac:dyDescent="0.25">
      <c r="I282" s="10" t="s">
        <v>391</v>
      </c>
    </row>
    <row r="283" spans="9:9" x14ac:dyDescent="0.25">
      <c r="I283" s="10" t="s">
        <v>392</v>
      </c>
    </row>
    <row r="284" spans="9:9" x14ac:dyDescent="0.25">
      <c r="I284" s="10" t="s">
        <v>393</v>
      </c>
    </row>
    <row r="285" spans="9:9" x14ac:dyDescent="0.25">
      <c r="I285" s="10" t="s">
        <v>394</v>
      </c>
    </row>
    <row r="286" spans="9:9" x14ac:dyDescent="0.25">
      <c r="I286" s="10" t="s">
        <v>395</v>
      </c>
    </row>
    <row r="287" spans="9:9" x14ac:dyDescent="0.25">
      <c r="I287" s="10" t="s">
        <v>396</v>
      </c>
    </row>
    <row r="288" spans="9:9" x14ac:dyDescent="0.25">
      <c r="I288" s="10" t="s">
        <v>397</v>
      </c>
    </row>
    <row r="289" spans="9:9" x14ac:dyDescent="0.25">
      <c r="I289" s="10" t="s">
        <v>398</v>
      </c>
    </row>
    <row r="290" spans="9:9" x14ac:dyDescent="0.25">
      <c r="I290" s="10" t="s">
        <v>399</v>
      </c>
    </row>
    <row r="291" spans="9:9" x14ac:dyDescent="0.25">
      <c r="I291" s="10" t="s">
        <v>400</v>
      </c>
    </row>
    <row r="292" spans="9:9" x14ac:dyDescent="0.25">
      <c r="I292" s="10" t="s">
        <v>401</v>
      </c>
    </row>
    <row r="293" spans="9:9" x14ac:dyDescent="0.25">
      <c r="I293" s="10" t="s">
        <v>402</v>
      </c>
    </row>
    <row r="294" spans="9:9" x14ac:dyDescent="0.25">
      <c r="I294" s="10" t="s">
        <v>403</v>
      </c>
    </row>
    <row r="295" spans="9:9" x14ac:dyDescent="0.25">
      <c r="I295" s="10" t="s">
        <v>404</v>
      </c>
    </row>
    <row r="296" spans="9:9" x14ac:dyDescent="0.25">
      <c r="I296" s="10" t="s">
        <v>405</v>
      </c>
    </row>
    <row r="297" spans="9:9" x14ac:dyDescent="0.25">
      <c r="I297" s="10" t="s">
        <v>406</v>
      </c>
    </row>
    <row r="298" spans="9:9" x14ac:dyDescent="0.25">
      <c r="I298" s="10" t="s">
        <v>407</v>
      </c>
    </row>
    <row r="299" spans="9:9" x14ac:dyDescent="0.25">
      <c r="I299" s="10" t="s">
        <v>408</v>
      </c>
    </row>
    <row r="300" spans="9:9" x14ac:dyDescent="0.25">
      <c r="I300" s="10" t="s">
        <v>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bulk_upload_template</vt:lpstr>
      <vt:lpstr>lookups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Ihtiram Ul Haque Khattak</cp:lastModifiedBy>
  <dcterms:created xsi:type="dcterms:W3CDTF">2025-09-20T02:44:42Z</dcterms:created>
  <dcterms:modified xsi:type="dcterms:W3CDTF">2025-09-28T01:51:09Z</dcterms:modified>
</cp:coreProperties>
</file>