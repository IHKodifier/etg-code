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on_Office\Dev_Space\vibe_skool\etg-code\entrytestguru\assets\templates\"/>
    </mc:Choice>
  </mc:AlternateContent>
  <xr:revisionPtr revIDLastSave="0" documentId="13_ncr:1_{DB8A9D89-AA40-4FCD-9A03-7B6D0136C9D3}" xr6:coauthVersionLast="47" xr6:coauthVersionMax="47" xr10:uidLastSave="{00000000-0000-0000-0000-000000000000}"/>
  <bookViews>
    <workbookView xWindow="20370" yWindow="-120" windowWidth="20640" windowHeight="11040" xr2:uid="{3DE5D032-E4C7-45AF-B710-A9735A21A42C}"/>
  </bookViews>
  <sheets>
    <sheet name="bulk_upload_template" sheetId="1" r:id="rId1"/>
    <sheet name="lookups" sheetId="2" r:id="rId2"/>
  </sheets>
  <definedNames>
    <definedName name="_xlnm._FilterDatabase" localSheetId="0" hidden="1">bulk_upload_template!$B$1:$U$20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7" i="1"/>
  <c r="A4" i="1"/>
  <c r="A5" i="1"/>
  <c r="A6" i="1"/>
  <c r="A3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3" i="1"/>
  <c r="N4" i="1"/>
  <c r="N5" i="1"/>
  <c r="N6" i="1"/>
  <c r="N7" i="1"/>
  <c r="N2" i="1"/>
  <c r="I16" i="1"/>
  <c r="H16" i="1"/>
</calcChain>
</file>

<file path=xl/sharedStrings.xml><?xml version="1.0" encoding="utf-8"?>
<sst xmlns="http://schemas.openxmlformats.org/spreadsheetml/2006/main" count="649" uniqueCount="500">
  <si>
    <t>questionText</t>
  </si>
  <si>
    <t>questionType</t>
  </si>
  <si>
    <t>examCategory</t>
  </si>
  <si>
    <t>subject</t>
  </si>
  <si>
    <t>topic</t>
  </si>
  <si>
    <t>subTopic</t>
  </si>
  <si>
    <t>optionA</t>
  </si>
  <si>
    <t>optionB</t>
  </si>
  <si>
    <t>optionC</t>
  </si>
  <si>
    <t>optionD</t>
  </si>
  <si>
    <t>optionE</t>
  </si>
  <si>
    <t>optionF</t>
  </si>
  <si>
    <t>correctAnswers</t>
  </si>
  <si>
    <t>explanationText</t>
  </si>
  <si>
    <t>difficulty</t>
  </si>
  <si>
    <t>tags</t>
  </si>
  <si>
    <t>estimatedTimeSeconds</t>
  </si>
  <si>
    <t>ardeProbability</t>
  </si>
  <si>
    <t>questionImageUrls</t>
  </si>
  <si>
    <t>explanationVideoUrl</t>
  </si>
  <si>
    <t>ECAT</t>
  </si>
  <si>
    <t>Algebra</t>
  </si>
  <si>
    <t>Linear Equations</t>
  </si>
  <si>
    <t>MCAT</t>
  </si>
  <si>
    <t>Exam_Category</t>
  </si>
  <si>
    <t>MCQ - Multi-select</t>
  </si>
  <si>
    <t>MCQ - Single-select</t>
  </si>
  <si>
    <t>Maths</t>
  </si>
  <si>
    <t>Physics</t>
  </si>
  <si>
    <t>Chemistry</t>
  </si>
  <si>
    <t>English</t>
  </si>
  <si>
    <t>Botany</t>
  </si>
  <si>
    <t>Zoology</t>
  </si>
  <si>
    <t>CCAT</t>
  </si>
  <si>
    <t>GMAT</t>
  </si>
  <si>
    <t>GRE</t>
  </si>
  <si>
    <t>SAT</t>
  </si>
  <si>
    <t>Electromagnetism</t>
  </si>
  <si>
    <t>Mechanics</t>
  </si>
  <si>
    <t>Waves</t>
  </si>
  <si>
    <t>Optics</t>
  </si>
  <si>
    <t>Electricity</t>
  </si>
  <si>
    <t>Magnetism</t>
  </si>
  <si>
    <t>Thermodynamics</t>
  </si>
  <si>
    <t>Electronics</t>
  </si>
  <si>
    <t>Functions</t>
  </si>
  <si>
    <t>Calculus</t>
  </si>
  <si>
    <t>Trigonometry</t>
  </si>
  <si>
    <t>Vectors</t>
  </si>
  <si>
    <t>Matrices</t>
  </si>
  <si>
    <t>Probability</t>
  </si>
  <si>
    <t>Statistics</t>
  </si>
  <si>
    <t>Limits</t>
  </si>
  <si>
    <t>Inequalities</t>
  </si>
  <si>
    <t>Determinants</t>
  </si>
  <si>
    <t>Oscillations</t>
  </si>
  <si>
    <t>Sound</t>
  </si>
  <si>
    <t>Capacitors</t>
  </si>
  <si>
    <t>Magnetic Fields</t>
  </si>
  <si>
    <t>Photoelectric Effect</t>
  </si>
  <si>
    <t>Atomic Models</t>
  </si>
  <si>
    <t>Radioactivity</t>
  </si>
  <si>
    <t>Semiconductors</t>
  </si>
  <si>
    <t>Logic Gates</t>
  </si>
  <si>
    <t>Analytic Geometry</t>
  </si>
  <si>
    <t>Complex Numbers</t>
  </si>
  <si>
    <t>Differential Equations</t>
  </si>
  <si>
    <t>Sequences and Series</t>
  </si>
  <si>
    <t>Quadratic Equations</t>
  </si>
  <si>
    <t>Polynomial Equations</t>
  </si>
  <si>
    <t>Domain and Range</t>
  </si>
  <si>
    <t>Inverse Functions</t>
  </si>
  <si>
    <t>Composition of Functions</t>
  </si>
  <si>
    <t>Transformations of Functions</t>
  </si>
  <si>
    <t>Trigonometric Identities</t>
  </si>
  <si>
    <t>Trigonometric Equations</t>
  </si>
  <si>
    <t>Law of Sines</t>
  </si>
  <si>
    <t>Law of Cosines</t>
  </si>
  <si>
    <t>Derivatives</t>
  </si>
  <si>
    <t>Applications of Derivatives</t>
  </si>
  <si>
    <t>Integrals</t>
  </si>
  <si>
    <t>Coordinate Geometry</t>
  </si>
  <si>
    <t>Conic Sections</t>
  </si>
  <si>
    <t>Straight Lines</t>
  </si>
  <si>
    <t>Circles</t>
  </si>
  <si>
    <t>Probability Rules</t>
  </si>
  <si>
    <t>Conditional Probability</t>
  </si>
  <si>
    <t>Binomial Distribution</t>
  </si>
  <si>
    <t>Measures of Central Tendency</t>
  </si>
  <si>
    <t>Measures of Dispersion</t>
  </si>
  <si>
    <t>Correlation and Regression</t>
  </si>
  <si>
    <t>Vector Addition</t>
  </si>
  <si>
    <t>Dot Product</t>
  </si>
  <si>
    <t>Cross Product</t>
  </si>
  <si>
    <t>Matrix Operations</t>
  </si>
  <si>
    <t>Inverse of a Matrix</t>
  </si>
  <si>
    <t>Eigenvalues and Eigenvectors</t>
  </si>
  <si>
    <t>Complex Number Algebra</t>
  </si>
  <si>
    <t>Polar Form of Complex Numbers</t>
  </si>
  <si>
    <t>De Moivre’s Theorem</t>
  </si>
  <si>
    <t>Roots of Complex Numbers</t>
  </si>
  <si>
    <t>First-order Differential Equations</t>
  </si>
  <si>
    <t>Second-order Differential Equations</t>
  </si>
  <si>
    <t>Applications of Differential Equations</t>
  </si>
  <si>
    <t>Arithmetic Progression</t>
  </si>
  <si>
    <t>Geometric Progression</t>
  </si>
  <si>
    <t>Harmonic Progression</t>
  </si>
  <si>
    <t>Binomial Theorem</t>
  </si>
  <si>
    <t>Modern Physics</t>
  </si>
  <si>
    <t>Gravitation</t>
  </si>
  <si>
    <t>Nuclear Physics</t>
  </si>
  <si>
    <t>Laws of Motion</t>
  </si>
  <si>
    <t>Work, Energy and Power</t>
  </si>
  <si>
    <t>Wave Propagation</t>
  </si>
  <si>
    <t>Interference of Waves</t>
  </si>
  <si>
    <t>Doppler Effect</t>
  </si>
  <si>
    <t>Reflection of Light</t>
  </si>
  <si>
    <t>Refraction of Light</t>
  </si>
  <si>
    <t>Lenses and Mirrors</t>
  </si>
  <si>
    <t>Diffraction of Light</t>
  </si>
  <si>
    <t>Electric Current</t>
  </si>
  <si>
    <t>Ohm’s Law and Resistance</t>
  </si>
  <si>
    <t>Kirchhoff’s Laws</t>
  </si>
  <si>
    <t>Force on a Current-Carrying Conductor</t>
  </si>
  <si>
    <t>Electromagnetic Induction</t>
  </si>
  <si>
    <t>AC and DC Circuits</t>
  </si>
  <si>
    <t>Relativity (basic concepts)</t>
  </si>
  <si>
    <t>Heat and Temperature</t>
  </si>
  <si>
    <t>Laws of Thermodynamics</t>
  </si>
  <si>
    <t>Gravitational Force</t>
  </si>
  <si>
    <t>Satellites and Orbits</t>
  </si>
  <si>
    <t>Nuclear Fission and Fusion</t>
  </si>
  <si>
    <t>Basic Concepts of Chemistry</t>
  </si>
  <si>
    <t>Atomic Structure</t>
  </si>
  <si>
    <t>Periodic Table</t>
  </si>
  <si>
    <t>Chemical Bonding</t>
  </si>
  <si>
    <t>States of Matter</t>
  </si>
  <si>
    <t>Chemical Equilibrium</t>
  </si>
  <si>
    <t>Redox Reactions</t>
  </si>
  <si>
    <t>Chemical Kinetics</t>
  </si>
  <si>
    <t>Solutions</t>
  </si>
  <si>
    <t>Electrochemistry</t>
  </si>
  <si>
    <t>Surface Chemistry</t>
  </si>
  <si>
    <t>Hydrogen</t>
  </si>
  <si>
    <t>The s-Block Element</t>
  </si>
  <si>
    <t>The p-Block Element</t>
  </si>
  <si>
    <t>The d-Block Element</t>
  </si>
  <si>
    <t>The f-Block Element</t>
  </si>
  <si>
    <t>Coordination Compounds</t>
  </si>
  <si>
    <t>Organic Chemistry Fundamentals</t>
  </si>
  <si>
    <t>Hydrocarbons</t>
  </si>
  <si>
    <t>Haloalkanes and Haloarenes</t>
  </si>
  <si>
    <t>Alcohols, Phenols, and Ethers</t>
  </si>
  <si>
    <t>Aldehydes, Ketones, and Carboxylic Acids</t>
  </si>
  <si>
    <t>Amines</t>
  </si>
  <si>
    <t>Biomolecules</t>
  </si>
  <si>
    <t>Polymers</t>
  </si>
  <si>
    <t>Chemistry in Everyday Life</t>
  </si>
  <si>
    <t>Environmental Chemistry</t>
  </si>
  <si>
    <t>Mole concept</t>
  </si>
  <si>
    <t>Stoichiometry</t>
  </si>
  <si>
    <t>Empirical and molecular formula</t>
  </si>
  <si>
    <t>Limiting reagent</t>
  </si>
  <si>
    <t>Bohr’s model</t>
  </si>
  <si>
    <t>Quantum numbers</t>
  </si>
  <si>
    <t>Electronic configuration</t>
  </si>
  <si>
    <t>Photoelectric effect</t>
  </si>
  <si>
    <t>Periodic trends</t>
  </si>
  <si>
    <t>Ionization energy</t>
  </si>
  <si>
    <t>Electronegativity</t>
  </si>
  <si>
    <t>Atomic radius</t>
  </si>
  <si>
    <t>Types of chemical bonds</t>
  </si>
  <si>
    <t>Hybridization</t>
  </si>
  <si>
    <t>Molecular orbital theory</t>
  </si>
  <si>
    <t>VSEPR theory</t>
  </si>
  <si>
    <t>Gas laws</t>
  </si>
  <si>
    <t>Kinetic molecular theory</t>
  </si>
  <si>
    <t>Liquefaction of gases</t>
  </si>
  <si>
    <t>Intermolecular forces</t>
  </si>
  <si>
    <t>First law of thermodynamics</t>
  </si>
  <si>
    <t>Enthalpy changes</t>
  </si>
  <si>
    <t>Hess’s law</t>
  </si>
  <si>
    <t>Entropy and spontaneity</t>
  </si>
  <si>
    <t>Le Chatelier’s principle</t>
  </si>
  <si>
    <t>Equilibrium constant</t>
  </si>
  <si>
    <t>Buffer solutions</t>
  </si>
  <si>
    <t>pH and indicators</t>
  </si>
  <si>
    <t>Oxidation number</t>
  </si>
  <si>
    <t>Balancing redox reactions</t>
  </si>
  <si>
    <t>Electrochemical series</t>
  </si>
  <si>
    <t>Applications of redox reactions</t>
  </si>
  <si>
    <t>Rate of reaction</t>
  </si>
  <si>
    <t>Factors affecting rate</t>
  </si>
  <si>
    <t>Order and molecularity</t>
  </si>
  <si>
    <t>Activation energy</t>
  </si>
  <si>
    <t>Concentration terms (molarity, molality)</t>
  </si>
  <si>
    <t>Colligative properties</t>
  </si>
  <si>
    <t>Raoult’s law</t>
  </si>
  <si>
    <t>Vapor pressure lowering</t>
  </si>
  <si>
    <t>Conductance of electrolytes</t>
  </si>
  <si>
    <t>Electrolysis</t>
  </si>
  <si>
    <t>Galvanic cells</t>
  </si>
  <si>
    <t>Nernst equation</t>
  </si>
  <si>
    <t>Adsorption</t>
  </si>
  <si>
    <t>Catalysis</t>
  </si>
  <si>
    <t>Colloids</t>
  </si>
  <si>
    <t>Isotopes of hydrogen</t>
  </si>
  <si>
    <t>Hydrides</t>
  </si>
  <si>
    <t>Water and its properties</t>
  </si>
  <si>
    <t>Peroxides</t>
  </si>
  <si>
    <t>Alkali metals</t>
  </si>
  <si>
    <t>Alkaline earth metals</t>
  </si>
  <si>
    <t>Biological importance of Ca and Mg</t>
  </si>
  <si>
    <t>General properties of s-block</t>
  </si>
  <si>
    <t>Group 13 elements</t>
  </si>
  <si>
    <t>Group 14 elements</t>
  </si>
  <si>
    <t>Group 15 elements</t>
  </si>
  <si>
    <t>Group 16 and 17 elements</t>
  </si>
  <si>
    <t>Transition metal characteristics</t>
  </si>
  <si>
    <t>Lanthanides</t>
  </si>
  <si>
    <t>Actinides</t>
  </si>
  <si>
    <t>Alloy formation</t>
  </si>
  <si>
    <t>Werner’s theory</t>
  </si>
  <si>
    <t>Nomenclature of coordination compounds</t>
  </si>
  <si>
    <t>Bonding in coordination complexes</t>
  </si>
  <si>
    <t>Applications of coordination compounds</t>
  </si>
  <si>
    <t>Classification of organic compounds</t>
  </si>
  <si>
    <t>Isomerism</t>
  </si>
  <si>
    <t>Nomenclature of organic compounds</t>
  </si>
  <si>
    <t>Reaction mechanisms</t>
  </si>
  <si>
    <t>Alkanes</t>
  </si>
  <si>
    <t>Alkenes</t>
  </si>
  <si>
    <t>Alkynes</t>
  </si>
  <si>
    <t>Aromatic hydrocarbons</t>
  </si>
  <si>
    <t>Preparation of haloalkanes</t>
  </si>
  <si>
    <t>Reactions of haloalkanes</t>
  </si>
  <si>
    <t>Aryl halides</t>
  </si>
  <si>
    <t>SN1 and SN2 mechanisms</t>
  </si>
  <si>
    <t>Preparation of alcohols</t>
  </si>
  <si>
    <t>Reactions of alcohols</t>
  </si>
  <si>
    <t>Phenols and ethers</t>
  </si>
  <si>
    <t>Properties of phenols</t>
  </si>
  <si>
    <t>Preparation of aldehydes</t>
  </si>
  <si>
    <t>Reactions of aldehydes</t>
  </si>
  <si>
    <t>Ketones and carboxylic acids</t>
  </si>
  <si>
    <t>Nucleophilic addition reactions</t>
  </si>
  <si>
    <t>Preparation of amines</t>
  </si>
  <si>
    <t>Reactions of amines</t>
  </si>
  <si>
    <t>Diazonium salts</t>
  </si>
  <si>
    <t>Uses of amines</t>
  </si>
  <si>
    <t>Carbohydrates</t>
  </si>
  <si>
    <t>Proteins</t>
  </si>
  <si>
    <t>Nucleic acids</t>
  </si>
  <si>
    <t>Vitamins</t>
  </si>
  <si>
    <t>Addition polymers</t>
  </si>
  <si>
    <t>Condensation polymers</t>
  </si>
  <si>
    <t>Biodegradable polymers</t>
  </si>
  <si>
    <t>Synthetic polymers</t>
  </si>
  <si>
    <t>Drugs and their classification</t>
  </si>
  <si>
    <t>Chemicals in food</t>
  </si>
  <si>
    <t>Cleansing agents</t>
  </si>
  <si>
    <t>Agrochemicals</t>
  </si>
  <si>
    <t>Air pollution</t>
  </si>
  <si>
    <t>Water pollution</t>
  </si>
  <si>
    <t>Green chemistry</t>
  </si>
  <si>
    <t>Waste management</t>
  </si>
  <si>
    <t xml:space="preserve">Diversity of Plants  </t>
  </si>
  <si>
    <t xml:space="preserve">Plant Anatomy  </t>
  </si>
  <si>
    <t xml:space="preserve">Plant Morphology  </t>
  </si>
  <si>
    <t xml:space="preserve">Cell Structure and Function  </t>
  </si>
  <si>
    <t xml:space="preserve">Plant Physiology  </t>
  </si>
  <si>
    <t xml:space="preserve">Plant Ecology  </t>
  </si>
  <si>
    <t xml:space="preserve">Genetics in Plants  </t>
  </si>
  <si>
    <t xml:space="preserve">Plant Evolution  </t>
  </si>
  <si>
    <t xml:space="preserve">Reproduction in Plants  </t>
  </si>
  <si>
    <t xml:space="preserve">Plant Classification  </t>
  </si>
  <si>
    <t xml:space="preserve">Economic Botany  </t>
  </si>
  <si>
    <t>Plant Biotechnology</t>
  </si>
  <si>
    <t xml:space="preserve">Algae and Bryophytes  </t>
  </si>
  <si>
    <t xml:space="preserve">Pteridophytes and Gymnosperms  </t>
  </si>
  <si>
    <t xml:space="preserve">Angiosperm Families  </t>
  </si>
  <si>
    <t xml:space="preserve">Tissues and Tissue Systems  </t>
  </si>
  <si>
    <t xml:space="preserve">Root, Stem, and Leaf Structure  </t>
  </si>
  <si>
    <t xml:space="preserve">Flower, Fruit, and Seed Morphology  </t>
  </si>
  <si>
    <t xml:space="preserve">Cell Organelles  </t>
  </si>
  <si>
    <t xml:space="preserve">Cell Division (Mitosis and Meiosis)  </t>
  </si>
  <si>
    <t xml:space="preserve">Photosynthesis  </t>
  </si>
  <si>
    <t xml:space="preserve">Respiration in Plants  </t>
  </si>
  <si>
    <t xml:space="preserve">Transpiration and Water Transport  </t>
  </si>
  <si>
    <t xml:space="preserve">Mineral Nutrition  </t>
  </si>
  <si>
    <t xml:space="preserve">Plant Hormones and Growth Regulators  </t>
  </si>
  <si>
    <t xml:space="preserve">Plant Responses to Stimuli  </t>
  </si>
  <si>
    <t xml:space="preserve">Ecosystem Dynamics  </t>
  </si>
  <si>
    <t xml:space="preserve">Plant Succession  </t>
  </si>
  <si>
    <t xml:space="preserve">Pollination Mechanisms  </t>
  </si>
  <si>
    <t xml:space="preserve">Fertilization and Embryo Development  </t>
  </si>
  <si>
    <t xml:space="preserve">Alternation of Generations  </t>
  </si>
  <si>
    <t xml:space="preserve">Mendelian Genetics in Plants  </t>
  </si>
  <si>
    <t xml:space="preserve">Chromosomes and Mutations  </t>
  </si>
  <si>
    <t xml:space="preserve">Plant Breeding Techniques  </t>
  </si>
  <si>
    <t xml:space="preserve">DNA Technology in Plants  </t>
  </si>
  <si>
    <t xml:space="preserve">Classification Systems (Artificial, Natural, Phylogenetic)  </t>
  </si>
  <si>
    <t xml:space="preserve">Medicinal Plants  </t>
  </si>
  <si>
    <t xml:space="preserve">Crop Plants and Agriculture  </t>
  </si>
  <si>
    <t xml:space="preserve">Industrial Uses of Plants  </t>
  </si>
  <si>
    <t xml:space="preserve">Tissue Culture  </t>
  </si>
  <si>
    <t>Genetically Modified Plants</t>
  </si>
  <si>
    <t xml:space="preserve">Introduction to Zoology  </t>
  </si>
  <si>
    <t xml:space="preserve">Cell Biology  </t>
  </si>
  <si>
    <t xml:space="preserve">Animal Tissues  </t>
  </si>
  <si>
    <t xml:space="preserve">Porifera and Coelenterata  </t>
  </si>
  <si>
    <t xml:space="preserve">Platyhelminthes and Nemathelminthes  </t>
  </si>
  <si>
    <t xml:space="preserve">Annelida  </t>
  </si>
  <si>
    <t xml:space="preserve">Arthropoda  </t>
  </si>
  <si>
    <t xml:space="preserve">Mollusca  </t>
  </si>
  <si>
    <t xml:space="preserve">Echinodermata  </t>
  </si>
  <si>
    <t xml:space="preserve">Chordata (Non-Chordates to Vertebrates)  </t>
  </si>
  <si>
    <t xml:space="preserve">Fishes and Amphibians  </t>
  </si>
  <si>
    <t xml:space="preserve">Reptiles, Birds, and Mammals  </t>
  </si>
  <si>
    <t xml:space="preserve">Digestive System  </t>
  </si>
  <si>
    <t xml:space="preserve">Respiratory System  </t>
  </si>
  <si>
    <t xml:space="preserve">Circulatory System  </t>
  </si>
  <si>
    <t xml:space="preserve">Excretory System  </t>
  </si>
  <si>
    <t xml:space="preserve">Nervous System  </t>
  </si>
  <si>
    <t xml:space="preserve">Endocrine System  </t>
  </si>
  <si>
    <t xml:space="preserve">Reproductive System  </t>
  </si>
  <si>
    <t xml:space="preserve">Genetics and Evolution  </t>
  </si>
  <si>
    <t xml:space="preserve">Ecology and Animal Behavior  </t>
  </si>
  <si>
    <t xml:space="preserve">Applied Zoology  </t>
  </si>
  <si>
    <t xml:space="preserve">Scope and branches of zoology  </t>
  </si>
  <si>
    <t xml:space="preserve">Importance of zoology in daily life  </t>
  </si>
  <si>
    <t xml:space="preserve">Cell structure and function  </t>
  </si>
  <si>
    <t xml:space="preserve">Cell cycle and division  </t>
  </si>
  <si>
    <t xml:space="preserve">Types and functions of animal tissues  </t>
  </si>
  <si>
    <t xml:space="preserve">Histological techniques  </t>
  </si>
  <si>
    <t xml:space="preserve">General characteristics of Porifera  </t>
  </si>
  <si>
    <t xml:space="preserve">Canal system in sponges  </t>
  </si>
  <si>
    <t xml:space="preserve">Polymorphism in Coelenterata  </t>
  </si>
  <si>
    <t xml:space="preserve">Life cycle of Obelia  </t>
  </si>
  <si>
    <t xml:space="preserve">Parasitic adaptations in flatworms  </t>
  </si>
  <si>
    <t xml:space="preserve">Diseases caused by helminths  </t>
  </si>
  <si>
    <t xml:space="preserve">Segmented body plan in Annelida  </t>
  </si>
  <si>
    <t xml:space="preserve">Economic importance of earthworms  </t>
  </si>
  <si>
    <t xml:space="preserve">General features of Arthropoda  </t>
  </si>
  <si>
    <t xml:space="preserve">Metamorphosis in insects  </t>
  </si>
  <si>
    <t xml:space="preserve">Pearl formation in mollusks  </t>
  </si>
  <si>
    <t xml:space="preserve">Economic importance of mollusks  </t>
  </si>
  <si>
    <t xml:space="preserve">Water vascular system in Echinodermata  </t>
  </si>
  <si>
    <t xml:space="preserve">Larval forms of echinoderms  </t>
  </si>
  <si>
    <t xml:space="preserve">Characteristics of Chordates  </t>
  </si>
  <si>
    <t xml:space="preserve">Differences between non-chordates and chordates  </t>
  </si>
  <si>
    <t xml:space="preserve">General features of Pisces  </t>
  </si>
  <si>
    <t xml:space="preserve">Amphibian adaptations  </t>
  </si>
  <si>
    <t xml:space="preserve">Characteristics of reptiles  </t>
  </si>
  <si>
    <t xml:space="preserve">Bird adaptations for flight  </t>
  </si>
  <si>
    <t xml:space="preserve">Mammalian characteristics  </t>
  </si>
  <si>
    <t xml:space="preserve">Structure of human digestive system  </t>
  </si>
  <si>
    <t xml:space="preserve">Enzymes and digestion  </t>
  </si>
  <si>
    <t xml:space="preserve">Respiration in animals  </t>
  </si>
  <si>
    <t xml:space="preserve">Mechanism of breathing in humans  </t>
  </si>
  <si>
    <t xml:space="preserve">Structure of human heart  </t>
  </si>
  <si>
    <t xml:space="preserve">Composition of blood  </t>
  </si>
  <si>
    <t xml:space="preserve">Excretion in humans  </t>
  </si>
  <si>
    <t xml:space="preserve">Structure of nephron  </t>
  </si>
  <si>
    <t xml:space="preserve">Parts of human nervous system  </t>
  </si>
  <si>
    <t xml:space="preserve">Reflex action and coordination  </t>
  </si>
  <si>
    <t xml:space="preserve">Endocrine glands and hormones  </t>
  </si>
  <si>
    <t xml:space="preserve">Disorders of endocrine system  </t>
  </si>
  <si>
    <t xml:space="preserve">Male reproductive system  </t>
  </si>
  <si>
    <t xml:space="preserve">Female reproductive system  </t>
  </si>
  <si>
    <t xml:space="preserve">Gametogenesis  </t>
  </si>
  <si>
    <t xml:space="preserve">Fertilization and development  </t>
  </si>
  <si>
    <t xml:space="preserve">Mendelian laws of inheritance  </t>
  </si>
  <si>
    <t xml:space="preserve">Chromosomal theory  </t>
  </si>
  <si>
    <t xml:space="preserve">Darwin’s theory of evolution  </t>
  </si>
  <si>
    <t xml:space="preserve">Modern synthetic theory  </t>
  </si>
  <si>
    <t xml:space="preserve">Ecosystem and energy flow  </t>
  </si>
  <si>
    <t xml:space="preserve">Population dynamics  </t>
  </si>
  <si>
    <t xml:space="preserve">Animal communication and behavior  </t>
  </si>
  <si>
    <t xml:space="preserve">Wildlife conservation  </t>
  </si>
  <si>
    <t xml:space="preserve">Poultry farming  </t>
  </si>
  <si>
    <t xml:space="preserve">Apiculture  </t>
  </si>
  <si>
    <t xml:space="preserve">Sericulture  </t>
  </si>
  <si>
    <t xml:space="preserve">Aquaculture  </t>
  </si>
  <si>
    <t>Reading Comprehension</t>
  </si>
  <si>
    <t>Writing Skills</t>
  </si>
  <si>
    <t>Grammar and Usage</t>
  </si>
  <si>
    <t>Vocabulary Development</t>
  </si>
  <si>
    <t>Literature</t>
  </si>
  <si>
    <t>Critical Thinking and Analysis</t>
  </si>
  <si>
    <t>Communication Skills</t>
  </si>
  <si>
    <t>Research and Presentation</t>
  </si>
  <si>
    <t>Passage Analysis</t>
  </si>
  <si>
    <t>Inference and Interpretation</t>
  </si>
  <si>
    <t>Summarizing</t>
  </si>
  <si>
    <t>Main Idea Identification</t>
  </si>
  <si>
    <t>Essay Writing</t>
  </si>
  <si>
    <t>Report Writing</t>
  </si>
  <si>
    <t>Creative Writing</t>
  </si>
  <si>
    <t>Letter and Application Writing</t>
  </si>
  <si>
    <t>Tenses</t>
  </si>
  <si>
    <t>Clauses and Phrases</t>
  </si>
  <si>
    <t>Active and Passive Voice</t>
  </si>
  <si>
    <t>Direct and Indirect Speech</t>
  </si>
  <si>
    <t>Synonyms and Antonyms</t>
  </si>
  <si>
    <t>Word Roots and Etymology</t>
  </si>
  <si>
    <t>Idioms and Phrases</t>
  </si>
  <si>
    <t>Contextual Vocabulary</t>
  </si>
  <si>
    <t>Prose Analysis</t>
  </si>
  <si>
    <t>Poetry Appreciation</t>
  </si>
  <si>
    <t>Drama and Plays</t>
  </si>
  <si>
    <t>Novel Study</t>
  </si>
  <si>
    <t>Argument Evaluation</t>
  </si>
  <si>
    <t>Bias and Perspective</t>
  </si>
  <si>
    <t>Comparative Analysis</t>
  </si>
  <si>
    <t>Logical Reasoning</t>
  </si>
  <si>
    <t>Public Speaking</t>
  </si>
  <si>
    <t>Debate Skills</t>
  </si>
  <si>
    <t>Listening Comprehension</t>
  </si>
  <si>
    <t>Interview Techniques</t>
  </si>
  <si>
    <t>Citation and Referencing</t>
  </si>
  <si>
    <t>Research Methodology</t>
  </si>
  <si>
    <t>Presentation Skills</t>
  </si>
  <si>
    <t>Academic Writing</t>
  </si>
  <si>
    <t>x=4</t>
  </si>
  <si>
    <t>x=8</t>
  </si>
  <si>
    <t>x=18</t>
  </si>
  <si>
    <t>Easy</t>
  </si>
  <si>
    <t>Algebra, Equations</t>
  </si>
  <si>
    <t>Solve the system of linear equations: 2x+y=7 and x-y=2.</t>
  </si>
  <si>
    <t>(3,1)</t>
  </si>
  <si>
    <t>(1,5)</t>
  </si>
  <si>
    <t>(4,3)</t>
  </si>
  <si>
    <t>(2,3)</t>
  </si>
  <si>
    <t>Using the elimination method, you can add the two equations together to eliminate the y variable: (2x+y)+(x-y)=7+2, which results in 3x=9. Dividing by 3 gives x=3. Substitute x=3 into the second equation: 3-y=2. Subtracting 3 from both sides gives -y=-1, so y=1. The solution is (3,1).</t>
  </si>
  <si>
    <t>Medium</t>
  </si>
  <si>
    <t>The perimeter of a rectangle is 24 cm. If the length is twice the width, what are the dimensions of the rectangle?</t>
  </si>
  <si>
    <t>4 cm by 8 cm</t>
  </si>
  <si>
    <t>6 cm by 6 cm</t>
  </si>
  <si>
    <t>5 cm by 7 cm</t>
  </si>
  <si>
    <t>3 cm by 9 cm</t>
  </si>
  <si>
    <t>Let the width be w and the length be l. We are given that l=2w. The formula for the perimeter is P=2l+2w. Substituting the given values: 24=2(2w)+2w, which simplifies to 24=4w+2w, or 24=6w. Dividing by 6, we get w=4 cm. Since l=2w, the length is 2×4=8 cm. The dimensions are 4 cm by 8 cm.</t>
  </si>
  <si>
    <t>Algebra, Word Problems</t>
  </si>
  <si>
    <t>Find the value of x for which the equation 5x-2=3(x+4) is true.</t>
  </si>
  <si>
    <t>x=7</t>
  </si>
  <si>
    <t>x=5</t>
  </si>
  <si>
    <t>x=3</t>
  </si>
  <si>
    <t>x=9</t>
  </si>
  <si>
    <t>First, distribute the 3 on the right side: 5x-2=3x+12. Next, subtract 3x from both sides: 2x-2=12. Add 2 to both sides: 2x=14. Finally, divide by 2: x=7.</t>
  </si>
  <si>
    <t>If the sum of two consecutive odd integers is 36, what is the larger of the two integers?</t>
  </si>
  <si>
    <t>Let the first odd integer be x. The next consecutive odd integer will be x+2. The sum is given as 36, so x+(x+2)=36. This simplifies to 2x+2=36. Subtract 2 from both sides: 2x=34. Divide by 2 to get x=17. The larger integer is x+2, which is 17+2=19.</t>
  </si>
  <si>
    <t>A force vector of magnitude 10 N is resolved into two components. If one component is at a 30° angle to the original vector and has a magnitude of 8 N, what is the angle of the second component relative to the original vector?</t>
  </si>
  <si>
    <t>45°</t>
  </si>
  <si>
    <t>60°</t>
  </si>
  <si>
    <t>90°</t>
  </si>
  <si>
    <t>75°</t>
  </si>
  <si>
    <t>Hard</t>
  </si>
  <si>
    <t>If 3x-5=13, what is the value of x?</t>
  </si>
  <si>
    <t>We can model this as a triangle with sides representing the force vectors. Let the original force be F, and the two components be F_1 and F_2. We have a triangle with sides F, F_1, and F_2. The angle between F and F_1 is 30°. Using the Law of Sines,  
sin(30°)
F_2
​
 = 
sin(θ_F,F_2)
F_1
​
 , where θ_F,F_2 is the angle between F and F_2. We need more information to solve this. Let's rephrase the question to make it solvable with Law of Sines. Let's consider a force triangle where two forces F_1=10N and F_2=15N have a resultant force of 20N. The angle between F_1 and the resultant is 30°. We can use the Law of Sines to find the angle between F_2 and the resultant.  
sin(30°)
15
​
 = 
sin(θ)
10
​
 . sin(θ)= 
15
10sin(30°)
​
 = 
15
10×0.5
​
 =1/3. This is a trigonometry application. The original question is too vague and I will provide a new one.</t>
  </si>
  <si>
    <t>x = 5</t>
  </si>
  <si>
    <t>1D motion</t>
  </si>
  <si>
    <t>2D Circular Motion</t>
  </si>
  <si>
    <t>2 D Projectile motion</t>
  </si>
  <si>
    <t>2D Simple Harmonic Motion</t>
  </si>
  <si>
    <t>x = 2</t>
  </si>
  <si>
    <t>x = 8</t>
  </si>
  <si>
    <t>x = 12</t>
  </si>
  <si>
    <t>Maths, Algebra</t>
  </si>
  <si>
    <t>Maths, Functions</t>
  </si>
  <si>
    <t>Solve for x: 4x + 8 = 14</t>
  </si>
  <si>
    <t>To solve this linear equation, isolate the variable x by performing inverse operations on both sides. First, add or subtract the constant term, then divide by the coefficient of x. Work step by step: rearrange terms, combine like terms, then divide to find x = x = 2.</t>
  </si>
  <si>
    <t>If 13x - 11 = 25, what is the value of x?</t>
  </si>
  <si>
    <t>Apply algebraic principles: isolate variables, perform inverse operations, and simplify step by step. The answer is x = 2.</t>
  </si>
  <si>
    <t>Simplify the expression: 12x + 1 - 15x + 6</t>
  </si>
  <si>
    <t>Apply algebraic principles: isolate variables, perform inverse operations, and simplify step by step. The answer is 15.</t>
  </si>
  <si>
    <t>Find the value of x in the equation: 11(x + 14) = 18</t>
  </si>
  <si>
    <t>Solve the system: 4x + 9y = 23 and 10x - 4y = 1</t>
  </si>
  <si>
    <t>To solve this system of linear equations, use either substitution or elimination method. Elimination: add/subtract equations to eliminate one variable, solve for the remaining variable, then substitute back to find the other variable. The solution is 15.</t>
  </si>
  <si>
    <t>Factor the expression: xÂ² + 17x + 8</t>
  </si>
  <si>
    <t>To factor this quadratic expression, look for two numbers that multiply to give the constant term and add to give the coefficient of the linear term. Use the factored form (x + a)(x + b) where a and b are these numbers. The answer is 15.</t>
  </si>
  <si>
    <t>If x = 20, find the value of 5xÂ² + 15x + 7</t>
  </si>
  <si>
    <t>Solve for y: 15y + 6 = 16y - 10</t>
  </si>
  <si>
    <t>What is the slope of the line 19x + 11y = 14?</t>
  </si>
  <si>
    <t>To find the slope from the standard form Ax + By = C, rearrange to slope-intercept form y = mx + b, where m is the slope. The slope is -A/B. Therefore, the slope is -2/3.</t>
  </si>
  <si>
    <t>Expand: (17x + 14)(21x + 10)</t>
  </si>
  <si>
    <t>If f(x) = 14x + 1, find f(7)</t>
  </si>
  <si>
    <t>To evaluate f(x) at a specific value, substitute the given x-value into the function expression. Replace every x with the given number and perform the arithmetic operations in order. This gives f(value) = 15.</t>
  </si>
  <si>
    <t>What is the domain of f(x) = 1/(x - 1)?</t>
  </si>
  <si>
    <t>To find the domain, identify values of x that make the function undefined. For rational functions, exclude values that make the denominator zero. For this function, x cannot equal the value that makes the denominator zero. Domain: 15.</t>
  </si>
  <si>
    <t>Find the inverse of f(x) = 9x + 10</t>
  </si>
  <si>
    <t>To find the inverse function: (1) Replace f(x) with y, (2) Swap x and y, (3) Solve for y, (4) Replace y with fâ»Â¹(x). Following these steps gives the inverse function: 15.</t>
  </si>
  <si>
    <t>To solve the linear equation 3x-5=13, you must isolate the variable x. First, add 5 to both sides of the equation: 3x-5+5=13+5, which simplifies to 3x=18.Next, divide both sides by 3 to find the value of x: 3x/3=18/3, which gives x=6.</t>
  </si>
  <si>
    <t>questionId</t>
  </si>
  <si>
    <t>if f(x)=81, then what is the degree of the function f(x)</t>
  </si>
  <si>
    <t>liner</t>
  </si>
  <si>
    <t>quadratic</t>
  </si>
  <si>
    <t>cubic</t>
  </si>
  <si>
    <t>exponential</t>
  </si>
  <si>
    <t>A</t>
  </si>
  <si>
    <t>lorem ipsum dah dah 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</si>
</sst>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89D185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16" fillId="33" borderId="10" xfId="0" applyFont="1" applyFill="1" applyBorder="1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0" borderId="0" xfId="0" applyFont="1" applyAlignment="1">
      <alignment wrapText="1"/>
    </xf>
    <xf numFmtId="16" fontId="0" fillId="0" borderId="0" xfId="0" applyNumberFormat="1" applyAlignment="1">
      <alignment wrapText="1"/>
    </xf>
    <xf numFmtId="0" fontId="16" fillId="33" borderId="11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A1B2-A2A0-43CA-A45C-69B9256BF234}">
  <dimension ref="A1:V21"/>
  <sheetViews>
    <sheetView tabSelected="1" zoomScale="96" zoomScaleNormal="96" workbookViewId="0">
      <pane xSplit="1" ySplit="1" topLeftCell="B9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5" x14ac:dyDescent="0.25"/>
  <cols>
    <col min="1" max="1" width="9.140625" style="1"/>
    <col min="2" max="2" width="38.7109375" style="1" customWidth="1"/>
    <col min="3" max="3" width="16" style="1" bestFit="1" customWidth="1"/>
    <col min="4" max="4" width="14.140625" style="1" bestFit="1" customWidth="1"/>
    <col min="5" max="5" width="18.140625" style="1" bestFit="1" customWidth="1"/>
    <col min="6" max="6" width="14.5703125" style="1" bestFit="1" customWidth="1"/>
    <col min="7" max="7" width="15.85546875" style="1" bestFit="1" customWidth="1"/>
    <col min="8" max="8" width="12.140625" style="1" customWidth="1"/>
    <col min="9" max="9" width="13.85546875" style="1" customWidth="1"/>
    <col min="10" max="10" width="12.7109375" style="1" customWidth="1"/>
    <col min="11" max="11" width="13.140625" style="1" customWidth="1"/>
    <col min="12" max="12" width="11.140625" style="1" customWidth="1"/>
    <col min="13" max="13" width="12" style="1" customWidth="1"/>
    <col min="14" max="14" width="9.42578125" style="1" customWidth="1"/>
    <col min="15" max="15" width="67.28515625" style="1" customWidth="1"/>
    <col min="16" max="16" width="14.28515625" style="1" customWidth="1"/>
    <col min="17" max="17" width="10.28515625" style="1" customWidth="1"/>
    <col min="18" max="18" width="15.85546875" style="1" customWidth="1"/>
    <col min="19" max="19" width="16.7109375" style="1" customWidth="1"/>
    <col min="20" max="20" width="18.28515625" style="1" bestFit="1" customWidth="1"/>
    <col min="21" max="21" width="19.5703125" style="1" bestFit="1" customWidth="1"/>
    <col min="22" max="16384" width="9.140625" style="1"/>
  </cols>
  <sheetData>
    <row r="1" spans="1:22" ht="30" x14ac:dyDescent="0.25">
      <c r="A1" s="3" t="s">
        <v>492</v>
      </c>
      <c r="B1" s="1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12"/>
    </row>
    <row r="2" spans="1:22" ht="60" x14ac:dyDescent="0.25">
      <c r="A2" s="2">
        <v>1</v>
      </c>
      <c r="B2" s="1" t="s">
        <v>457</v>
      </c>
      <c r="C2" s="2" t="s">
        <v>26</v>
      </c>
      <c r="D2" s="2" t="s">
        <v>20</v>
      </c>
      <c r="E2" s="2" t="s">
        <v>27</v>
      </c>
      <c r="F2" s="2" t="s">
        <v>21</v>
      </c>
      <c r="G2" s="2" t="s">
        <v>22</v>
      </c>
      <c r="H2" s="2" t="s">
        <v>424</v>
      </c>
      <c r="I2" s="2">
        <v>6</v>
      </c>
      <c r="J2" s="2" t="s">
        <v>425</v>
      </c>
      <c r="K2" s="2" t="s">
        <v>426</v>
      </c>
      <c r="L2" s="2"/>
      <c r="M2" s="2"/>
      <c r="N2" s="2" t="str">
        <f ca="1">CHAR(RANDBETWEEN(65,68))</f>
        <v>D</v>
      </c>
      <c r="O2" s="2" t="s">
        <v>491</v>
      </c>
      <c r="P2" s="2" t="s">
        <v>427</v>
      </c>
      <c r="Q2" s="2" t="s">
        <v>428</v>
      </c>
      <c r="R2" s="2">
        <v>60</v>
      </c>
      <c r="S2" s="2">
        <v>0.9</v>
      </c>
      <c r="T2" s="2"/>
      <c r="U2" s="2"/>
    </row>
    <row r="3" spans="1:22" ht="60" x14ac:dyDescent="0.25">
      <c r="A3" s="2">
        <f>A2+1</f>
        <v>2</v>
      </c>
      <c r="B3" s="15" t="s">
        <v>429</v>
      </c>
      <c r="C3" s="2" t="s">
        <v>26</v>
      </c>
      <c r="D3" s="2" t="s">
        <v>20</v>
      </c>
      <c r="E3" s="2" t="s">
        <v>27</v>
      </c>
      <c r="F3" s="2" t="s">
        <v>21</v>
      </c>
      <c r="G3" s="2" t="s">
        <v>22</v>
      </c>
      <c r="H3" s="2" t="s">
        <v>430</v>
      </c>
      <c r="I3" s="2" t="s">
        <v>431</v>
      </c>
      <c r="J3" s="2" t="s">
        <v>432</v>
      </c>
      <c r="K3" s="2" t="s">
        <v>433</v>
      </c>
      <c r="L3" s="2"/>
      <c r="M3" s="2"/>
      <c r="N3" s="2" t="str">
        <f t="shared" ref="N3:N20" ca="1" si="0">CHAR(RANDBETWEEN(65,68))</f>
        <v>B</v>
      </c>
      <c r="O3" s="2" t="s">
        <v>434</v>
      </c>
      <c r="P3" s="2" t="s">
        <v>435</v>
      </c>
      <c r="Q3" s="2" t="s">
        <v>428</v>
      </c>
      <c r="R3" s="2">
        <v>120</v>
      </c>
      <c r="S3" s="2">
        <v>0.8</v>
      </c>
      <c r="T3" s="2"/>
      <c r="U3" s="2"/>
    </row>
    <row r="4" spans="1:22" ht="60" x14ac:dyDescent="0.25">
      <c r="A4" s="2">
        <f t="shared" ref="A4:A20" si="1">A3+1</f>
        <v>3</v>
      </c>
      <c r="B4" s="15" t="s">
        <v>436</v>
      </c>
      <c r="C4" s="2" t="s">
        <v>26</v>
      </c>
      <c r="D4" s="2" t="s">
        <v>20</v>
      </c>
      <c r="E4" s="2" t="s">
        <v>27</v>
      </c>
      <c r="F4" s="2" t="s">
        <v>21</v>
      </c>
      <c r="G4" s="2" t="s">
        <v>22</v>
      </c>
      <c r="H4" s="2" t="s">
        <v>437</v>
      </c>
      <c r="I4" s="2" t="s">
        <v>438</v>
      </c>
      <c r="J4" s="2" t="s">
        <v>439</v>
      </c>
      <c r="K4" s="2" t="s">
        <v>440</v>
      </c>
      <c r="L4" s="2"/>
      <c r="M4" s="2"/>
      <c r="N4" s="2" t="str">
        <f t="shared" ca="1" si="0"/>
        <v>C</v>
      </c>
      <c r="O4" s="2" t="s">
        <v>441</v>
      </c>
      <c r="P4" s="2" t="s">
        <v>435</v>
      </c>
      <c r="Q4" s="2" t="s">
        <v>442</v>
      </c>
      <c r="R4" s="2">
        <v>150</v>
      </c>
      <c r="S4" s="2">
        <v>0.8</v>
      </c>
      <c r="T4" s="2"/>
      <c r="U4" s="2"/>
    </row>
    <row r="5" spans="1:22" ht="30" x14ac:dyDescent="0.25">
      <c r="A5" s="2">
        <f t="shared" si="1"/>
        <v>4</v>
      </c>
      <c r="B5" s="15" t="s">
        <v>443</v>
      </c>
      <c r="C5" s="2" t="s">
        <v>26</v>
      </c>
      <c r="D5" s="2" t="s">
        <v>20</v>
      </c>
      <c r="E5" s="2" t="s">
        <v>27</v>
      </c>
      <c r="F5" s="2" t="s">
        <v>21</v>
      </c>
      <c r="G5" s="2" t="s">
        <v>22</v>
      </c>
      <c r="H5" s="2" t="s">
        <v>444</v>
      </c>
      <c r="I5" s="2" t="s">
        <v>445</v>
      </c>
      <c r="J5" s="2" t="s">
        <v>446</v>
      </c>
      <c r="K5" s="2" t="s">
        <v>447</v>
      </c>
      <c r="L5" s="2"/>
      <c r="M5" s="2"/>
      <c r="N5" s="2" t="str">
        <f t="shared" ca="1" si="0"/>
        <v>B</v>
      </c>
      <c r="O5" s="2" t="s">
        <v>448</v>
      </c>
      <c r="P5" s="2" t="s">
        <v>427</v>
      </c>
      <c r="Q5" s="2" t="s">
        <v>428</v>
      </c>
      <c r="R5" s="2">
        <v>90</v>
      </c>
      <c r="S5" s="2">
        <v>0.9</v>
      </c>
      <c r="T5" s="2"/>
      <c r="U5" s="2"/>
    </row>
    <row r="6" spans="1:22" ht="60" x14ac:dyDescent="0.25">
      <c r="A6" s="2">
        <f t="shared" si="1"/>
        <v>5</v>
      </c>
      <c r="B6" s="15" t="s">
        <v>449</v>
      </c>
      <c r="C6" s="2" t="s">
        <v>26</v>
      </c>
      <c r="D6" s="2" t="s">
        <v>20</v>
      </c>
      <c r="E6" s="2" t="s">
        <v>27</v>
      </c>
      <c r="F6" s="2" t="s">
        <v>21</v>
      </c>
      <c r="G6" s="2" t="s">
        <v>22</v>
      </c>
      <c r="H6" s="2">
        <v>17</v>
      </c>
      <c r="I6" s="2">
        <v>19</v>
      </c>
      <c r="J6" s="2">
        <v>15</v>
      </c>
      <c r="K6" s="2">
        <v>21</v>
      </c>
      <c r="L6" s="2"/>
      <c r="M6" s="2"/>
      <c r="N6" s="2" t="str">
        <f t="shared" ca="1" si="0"/>
        <v>C</v>
      </c>
      <c r="O6" s="2" t="s">
        <v>450</v>
      </c>
      <c r="P6" s="2" t="s">
        <v>435</v>
      </c>
      <c r="Q6" s="2" t="s">
        <v>442</v>
      </c>
      <c r="R6" s="2">
        <v>120</v>
      </c>
      <c r="S6" s="2">
        <v>0.8</v>
      </c>
      <c r="T6" s="2"/>
      <c r="U6" s="2"/>
    </row>
    <row r="7" spans="1:22" ht="409.5" x14ac:dyDescent="0.25">
      <c r="A7" s="2">
        <f t="shared" si="1"/>
        <v>6</v>
      </c>
      <c r="B7" s="16" t="s">
        <v>451</v>
      </c>
      <c r="C7" s="2" t="s">
        <v>26</v>
      </c>
      <c r="D7" s="2" t="s">
        <v>20</v>
      </c>
      <c r="E7" s="2" t="s">
        <v>28</v>
      </c>
      <c r="F7" s="2" t="s">
        <v>38</v>
      </c>
      <c r="G7" s="2" t="s">
        <v>76</v>
      </c>
      <c r="H7" s="2" t="s">
        <v>452</v>
      </c>
      <c r="I7" s="2" t="s">
        <v>453</v>
      </c>
      <c r="J7" s="2" t="s">
        <v>454</v>
      </c>
      <c r="K7" s="2" t="s">
        <v>455</v>
      </c>
      <c r="L7" s="2"/>
      <c r="M7" s="2"/>
      <c r="N7" s="2" t="str">
        <f t="shared" ca="1" si="0"/>
        <v>D</v>
      </c>
      <c r="O7" s="2" t="s">
        <v>458</v>
      </c>
      <c r="P7" s="2" t="s">
        <v>456</v>
      </c>
      <c r="Q7" s="2"/>
      <c r="R7" s="2"/>
      <c r="S7" s="2"/>
      <c r="T7" s="2"/>
      <c r="U7" s="2"/>
    </row>
    <row r="8" spans="1:22" ht="60" x14ac:dyDescent="0.25">
      <c r="A8" s="2">
        <f t="shared" si="1"/>
        <v>7</v>
      </c>
      <c r="B8" s="1" t="s">
        <v>469</v>
      </c>
      <c r="C8" s="1" t="s">
        <v>26</v>
      </c>
      <c r="D8" s="1" t="s">
        <v>20</v>
      </c>
      <c r="E8" s="1" t="s">
        <v>27</v>
      </c>
      <c r="F8" s="1" t="s">
        <v>21</v>
      </c>
      <c r="G8" s="1" t="s">
        <v>21</v>
      </c>
      <c r="H8" s="1" t="s">
        <v>459</v>
      </c>
      <c r="I8" s="1" t="s">
        <v>464</v>
      </c>
      <c r="J8" s="1" t="s">
        <v>465</v>
      </c>
      <c r="K8" s="1" t="s">
        <v>466</v>
      </c>
      <c r="N8" s="2" t="str">
        <f t="shared" ca="1" si="0"/>
        <v>D</v>
      </c>
      <c r="O8" s="1" t="s">
        <v>470</v>
      </c>
      <c r="P8" s="1" t="s">
        <v>435</v>
      </c>
      <c r="Q8" s="1" t="s">
        <v>467</v>
      </c>
      <c r="R8" s="1">
        <v>149</v>
      </c>
      <c r="S8" s="1">
        <v>0.9</v>
      </c>
    </row>
    <row r="9" spans="1:22" ht="30" x14ac:dyDescent="0.25">
      <c r="A9" s="2">
        <f t="shared" si="1"/>
        <v>8</v>
      </c>
      <c r="B9" s="1" t="s">
        <v>471</v>
      </c>
      <c r="C9" s="1" t="s">
        <v>26</v>
      </c>
      <c r="D9" s="1" t="s">
        <v>20</v>
      </c>
      <c r="E9" s="1" t="s">
        <v>27</v>
      </c>
      <c r="F9" s="1" t="s">
        <v>21</v>
      </c>
      <c r="G9" s="1" t="s">
        <v>21</v>
      </c>
      <c r="H9" s="1" t="s">
        <v>466</v>
      </c>
      <c r="I9" s="1" t="s">
        <v>465</v>
      </c>
      <c r="J9" s="1" t="s">
        <v>459</v>
      </c>
      <c r="K9" s="1" t="s">
        <v>464</v>
      </c>
      <c r="N9" s="2" t="str">
        <f t="shared" ca="1" si="0"/>
        <v>C</v>
      </c>
      <c r="O9" s="1" t="s">
        <v>472</v>
      </c>
      <c r="P9" s="1" t="s">
        <v>427</v>
      </c>
      <c r="Q9" s="1" t="s">
        <v>467</v>
      </c>
      <c r="R9" s="1">
        <v>97</v>
      </c>
      <c r="S9" s="1">
        <v>0.9</v>
      </c>
    </row>
    <row r="10" spans="1:22" ht="30" x14ac:dyDescent="0.25">
      <c r="A10" s="2">
        <f t="shared" si="1"/>
        <v>9</v>
      </c>
      <c r="B10" s="1" t="s">
        <v>473</v>
      </c>
      <c r="C10" s="1" t="s">
        <v>26</v>
      </c>
      <c r="D10" s="1" t="s">
        <v>20</v>
      </c>
      <c r="E10" s="1" t="s">
        <v>27</v>
      </c>
      <c r="F10" s="1" t="s">
        <v>21</v>
      </c>
      <c r="G10" s="1" t="s">
        <v>21</v>
      </c>
      <c r="H10" s="1">
        <v>25</v>
      </c>
      <c r="I10" s="1">
        <v>20</v>
      </c>
      <c r="J10" s="1">
        <v>30</v>
      </c>
      <c r="K10" s="1">
        <v>15</v>
      </c>
      <c r="N10" s="2" t="str">
        <f t="shared" ca="1" si="0"/>
        <v>B</v>
      </c>
      <c r="O10" s="1" t="s">
        <v>474</v>
      </c>
      <c r="P10" s="1" t="s">
        <v>427</v>
      </c>
      <c r="Q10" s="1" t="s">
        <v>467</v>
      </c>
      <c r="R10" s="1">
        <v>75</v>
      </c>
      <c r="S10" s="1">
        <v>0.9</v>
      </c>
    </row>
    <row r="11" spans="1:22" ht="30" x14ac:dyDescent="0.25">
      <c r="A11" s="2">
        <f t="shared" si="1"/>
        <v>10</v>
      </c>
      <c r="B11" s="1" t="s">
        <v>475</v>
      </c>
      <c r="C11" s="1" t="s">
        <v>26</v>
      </c>
      <c r="D11" s="1" t="s">
        <v>20</v>
      </c>
      <c r="E11" s="1" t="s">
        <v>27</v>
      </c>
      <c r="F11" s="1" t="s">
        <v>21</v>
      </c>
      <c r="G11" s="1" t="s">
        <v>21</v>
      </c>
      <c r="H11" s="1" t="s">
        <v>465</v>
      </c>
      <c r="I11" s="1" t="s">
        <v>459</v>
      </c>
      <c r="J11" s="1" t="s">
        <v>466</v>
      </c>
      <c r="K11" s="1" t="s">
        <v>464</v>
      </c>
      <c r="N11" s="2" t="str">
        <f t="shared" ca="1" si="0"/>
        <v>A</v>
      </c>
      <c r="O11" s="1" t="s">
        <v>472</v>
      </c>
      <c r="P11" s="1" t="s">
        <v>435</v>
      </c>
      <c r="Q11" s="1" t="s">
        <v>467</v>
      </c>
      <c r="R11" s="1">
        <v>94</v>
      </c>
      <c r="S11" s="1">
        <v>0.8</v>
      </c>
    </row>
    <row r="12" spans="1:22" ht="60" x14ac:dyDescent="0.25">
      <c r="A12" s="2">
        <f t="shared" si="1"/>
        <v>11</v>
      </c>
      <c r="B12" s="1" t="s">
        <v>476</v>
      </c>
      <c r="C12" s="1" t="s">
        <v>26</v>
      </c>
      <c r="D12" s="1" t="s">
        <v>20</v>
      </c>
      <c r="E12" s="1" t="s">
        <v>27</v>
      </c>
      <c r="F12" s="1" t="s">
        <v>21</v>
      </c>
      <c r="G12" s="1" t="s">
        <v>21</v>
      </c>
      <c r="H12" s="1">
        <v>25</v>
      </c>
      <c r="I12" s="1">
        <v>30</v>
      </c>
      <c r="J12" s="1">
        <v>20</v>
      </c>
      <c r="K12" s="1">
        <v>15</v>
      </c>
      <c r="N12" s="2" t="str">
        <f t="shared" ca="1" si="0"/>
        <v>B</v>
      </c>
      <c r="O12" s="1" t="s">
        <v>477</v>
      </c>
      <c r="P12" s="1" t="s">
        <v>456</v>
      </c>
      <c r="Q12" s="1" t="s">
        <v>467</v>
      </c>
      <c r="R12" s="1">
        <v>162</v>
      </c>
      <c r="S12" s="1">
        <v>1</v>
      </c>
    </row>
    <row r="13" spans="1:22" ht="60" x14ac:dyDescent="0.25">
      <c r="A13" s="2">
        <f t="shared" si="1"/>
        <v>12</v>
      </c>
      <c r="B13" s="1" t="s">
        <v>478</v>
      </c>
      <c r="C13" s="1" t="s">
        <v>26</v>
      </c>
      <c r="D13" s="1" t="s">
        <v>20</v>
      </c>
      <c r="E13" s="1" t="s">
        <v>27</v>
      </c>
      <c r="F13" s="1" t="s">
        <v>21</v>
      </c>
      <c r="G13" s="1" t="s">
        <v>21</v>
      </c>
      <c r="H13" s="1">
        <v>20</v>
      </c>
      <c r="I13" s="1">
        <v>25</v>
      </c>
      <c r="J13" s="1">
        <v>15</v>
      </c>
      <c r="K13" s="1">
        <v>30</v>
      </c>
      <c r="N13" s="2" t="str">
        <f t="shared" ca="1" si="0"/>
        <v>D</v>
      </c>
      <c r="O13" s="1" t="s">
        <v>479</v>
      </c>
      <c r="P13" s="1" t="s">
        <v>456</v>
      </c>
      <c r="Q13" s="1" t="s">
        <v>467</v>
      </c>
      <c r="R13" s="1">
        <v>116</v>
      </c>
      <c r="S13" s="1">
        <v>0.8</v>
      </c>
    </row>
    <row r="14" spans="1:22" ht="30" x14ac:dyDescent="0.25">
      <c r="A14" s="2">
        <f t="shared" si="1"/>
        <v>13</v>
      </c>
      <c r="B14" s="1" t="s">
        <v>480</v>
      </c>
      <c r="C14" s="1" t="s">
        <v>26</v>
      </c>
      <c r="D14" s="1" t="s">
        <v>20</v>
      </c>
      <c r="E14" s="1" t="s">
        <v>27</v>
      </c>
      <c r="F14" s="1" t="s">
        <v>21</v>
      </c>
      <c r="G14" s="1" t="s">
        <v>21</v>
      </c>
      <c r="H14" s="1">
        <v>30</v>
      </c>
      <c r="I14" s="1">
        <v>15</v>
      </c>
      <c r="J14" s="1">
        <v>20</v>
      </c>
      <c r="K14" s="1">
        <v>25</v>
      </c>
      <c r="N14" s="2" t="str">
        <f t="shared" ca="1" si="0"/>
        <v>C</v>
      </c>
      <c r="O14" s="1" t="s">
        <v>474</v>
      </c>
      <c r="P14" s="1" t="s">
        <v>427</v>
      </c>
      <c r="Q14" s="1" t="s">
        <v>467</v>
      </c>
      <c r="R14" s="1">
        <v>166</v>
      </c>
      <c r="S14" s="1">
        <v>0.8</v>
      </c>
    </row>
    <row r="15" spans="1:22" ht="30" x14ac:dyDescent="0.25">
      <c r="A15" s="2">
        <f t="shared" si="1"/>
        <v>14</v>
      </c>
      <c r="B15" s="1" t="s">
        <v>481</v>
      </c>
      <c r="C15" s="1" t="s">
        <v>26</v>
      </c>
      <c r="D15" s="1" t="s">
        <v>20</v>
      </c>
      <c r="E15" s="1" t="s">
        <v>27</v>
      </c>
      <c r="F15" s="1" t="s">
        <v>21</v>
      </c>
      <c r="G15" s="1" t="s">
        <v>21</v>
      </c>
      <c r="H15" s="1">
        <v>15</v>
      </c>
      <c r="I15" s="1">
        <v>20</v>
      </c>
      <c r="J15" s="1">
        <v>30</v>
      </c>
      <c r="K15" s="1">
        <v>25</v>
      </c>
      <c r="N15" s="2" t="str">
        <f t="shared" ca="1" si="0"/>
        <v>D</v>
      </c>
      <c r="O15" s="1" t="s">
        <v>474</v>
      </c>
      <c r="P15" s="1" t="s">
        <v>456</v>
      </c>
      <c r="Q15" s="1" t="s">
        <v>467</v>
      </c>
      <c r="R15" s="1">
        <v>124</v>
      </c>
      <c r="S15" s="1">
        <v>0.7</v>
      </c>
    </row>
    <row r="16" spans="1:22" ht="45" x14ac:dyDescent="0.25">
      <c r="A16" s="2">
        <f t="shared" si="1"/>
        <v>15</v>
      </c>
      <c r="B16" s="1" t="s">
        <v>482</v>
      </c>
      <c r="C16" s="1" t="s">
        <v>26</v>
      </c>
      <c r="D16" s="1" t="s">
        <v>20</v>
      </c>
      <c r="E16" s="1" t="s">
        <v>27</v>
      </c>
      <c r="F16" s="1" t="s">
        <v>21</v>
      </c>
      <c r="G16" s="1" t="s">
        <v>21</v>
      </c>
      <c r="H16" s="1">
        <f>-2/3</f>
        <v>-0.66666666666666663</v>
      </c>
      <c r="I16" s="1">
        <f>-1/4</f>
        <v>-0.25</v>
      </c>
      <c r="J16" s="13">
        <v>45750</v>
      </c>
      <c r="K16" s="13">
        <v>45689</v>
      </c>
      <c r="N16" s="2" t="str">
        <f t="shared" ca="1" si="0"/>
        <v>C</v>
      </c>
      <c r="O16" s="1" t="s">
        <v>483</v>
      </c>
      <c r="P16" s="1" t="s">
        <v>435</v>
      </c>
      <c r="Q16" s="1" t="s">
        <v>467</v>
      </c>
      <c r="R16" s="1">
        <v>86</v>
      </c>
      <c r="S16" s="1">
        <v>1</v>
      </c>
    </row>
    <row r="17" spans="1:19" ht="30" x14ac:dyDescent="0.25">
      <c r="A17" s="2">
        <f t="shared" si="1"/>
        <v>16</v>
      </c>
      <c r="B17" s="1" t="s">
        <v>484</v>
      </c>
      <c r="C17" s="1" t="s">
        <v>26</v>
      </c>
      <c r="D17" s="1" t="s">
        <v>20</v>
      </c>
      <c r="E17" s="1" t="s">
        <v>27</v>
      </c>
      <c r="F17" s="1" t="s">
        <v>21</v>
      </c>
      <c r="G17" s="1" t="s">
        <v>21</v>
      </c>
      <c r="H17" s="1">
        <v>30</v>
      </c>
      <c r="I17" s="1">
        <v>25</v>
      </c>
      <c r="J17" s="1">
        <v>15</v>
      </c>
      <c r="K17" s="1">
        <v>20</v>
      </c>
      <c r="N17" s="2" t="str">
        <f t="shared" ca="1" si="0"/>
        <v>A</v>
      </c>
      <c r="O17" s="1" t="s">
        <v>474</v>
      </c>
      <c r="P17" s="1" t="s">
        <v>427</v>
      </c>
      <c r="Q17" s="1" t="s">
        <v>467</v>
      </c>
      <c r="R17" s="1">
        <v>104</v>
      </c>
      <c r="S17" s="1">
        <v>0.7</v>
      </c>
    </row>
    <row r="18" spans="1:19" ht="45" x14ac:dyDescent="0.25">
      <c r="A18" s="2">
        <f t="shared" si="1"/>
        <v>17</v>
      </c>
      <c r="B18" s="1" t="s">
        <v>485</v>
      </c>
      <c r="C18" s="1" t="s">
        <v>26</v>
      </c>
      <c r="D18" s="1" t="s">
        <v>20</v>
      </c>
      <c r="E18" s="1" t="s">
        <v>27</v>
      </c>
      <c r="F18" s="1" t="s">
        <v>45</v>
      </c>
      <c r="G18" s="1" t="s">
        <v>45</v>
      </c>
      <c r="H18" s="1">
        <v>25</v>
      </c>
      <c r="I18" s="1">
        <v>30</v>
      </c>
      <c r="J18" s="1">
        <v>15</v>
      </c>
      <c r="K18" s="1">
        <v>20</v>
      </c>
      <c r="N18" s="2" t="str">
        <f t="shared" ca="1" si="0"/>
        <v>D</v>
      </c>
      <c r="O18" s="1" t="s">
        <v>486</v>
      </c>
      <c r="P18" s="1" t="s">
        <v>435</v>
      </c>
      <c r="Q18" s="1" t="s">
        <v>468</v>
      </c>
      <c r="R18" s="1">
        <v>128</v>
      </c>
      <c r="S18" s="1">
        <v>0.9</v>
      </c>
    </row>
    <row r="19" spans="1:19" ht="60" x14ac:dyDescent="0.25">
      <c r="A19" s="2">
        <f t="shared" si="1"/>
        <v>18</v>
      </c>
      <c r="B19" s="1" t="s">
        <v>487</v>
      </c>
      <c r="C19" s="1" t="s">
        <v>26</v>
      </c>
      <c r="D19" s="1" t="s">
        <v>20</v>
      </c>
      <c r="E19" s="1" t="s">
        <v>27</v>
      </c>
      <c r="F19" s="1" t="s">
        <v>45</v>
      </c>
      <c r="G19" s="1" t="s">
        <v>45</v>
      </c>
      <c r="H19" s="1">
        <v>20</v>
      </c>
      <c r="I19" s="1">
        <v>15</v>
      </c>
      <c r="J19" s="1">
        <v>25</v>
      </c>
      <c r="K19" s="1">
        <v>30</v>
      </c>
      <c r="N19" s="2" t="str">
        <f t="shared" ca="1" si="0"/>
        <v>C</v>
      </c>
      <c r="O19" s="1" t="s">
        <v>488</v>
      </c>
      <c r="P19" s="1" t="s">
        <v>427</v>
      </c>
      <c r="Q19" s="1" t="s">
        <v>468</v>
      </c>
      <c r="R19" s="1">
        <v>164</v>
      </c>
      <c r="S19" s="1">
        <v>0.9</v>
      </c>
    </row>
    <row r="20" spans="1:19" ht="45" x14ac:dyDescent="0.25">
      <c r="A20" s="2">
        <f t="shared" si="1"/>
        <v>19</v>
      </c>
      <c r="B20" s="1" t="s">
        <v>489</v>
      </c>
      <c r="C20" s="1" t="s">
        <v>26</v>
      </c>
      <c r="D20" s="1" t="s">
        <v>20</v>
      </c>
      <c r="E20" s="1" t="s">
        <v>27</v>
      </c>
      <c r="F20" s="1" t="s">
        <v>45</v>
      </c>
      <c r="G20" s="1" t="s">
        <v>45</v>
      </c>
      <c r="H20" s="1">
        <v>15</v>
      </c>
      <c r="I20" s="1">
        <v>30</v>
      </c>
      <c r="J20" s="1">
        <v>20</v>
      </c>
      <c r="K20" s="1">
        <v>25</v>
      </c>
      <c r="N20" s="2" t="str">
        <f t="shared" ca="1" si="0"/>
        <v>D</v>
      </c>
      <c r="O20" s="1" t="s">
        <v>490</v>
      </c>
      <c r="P20" s="1" t="s">
        <v>427</v>
      </c>
      <c r="Q20" s="1" t="s">
        <v>468</v>
      </c>
      <c r="R20" s="1">
        <v>87</v>
      </c>
      <c r="S20" s="1">
        <v>1</v>
      </c>
    </row>
    <row r="21" spans="1:19" ht="30" x14ac:dyDescent="0.25">
      <c r="A21" s="1">
        <v>20</v>
      </c>
      <c r="B21" s="1" t="s">
        <v>493</v>
      </c>
      <c r="C21" s="1" t="s">
        <v>26</v>
      </c>
      <c r="D21" s="1" t="s">
        <v>20</v>
      </c>
      <c r="E21" s="1" t="s">
        <v>27</v>
      </c>
      <c r="F21" s="1" t="s">
        <v>45</v>
      </c>
      <c r="G21" s="1" t="s">
        <v>45</v>
      </c>
      <c r="H21" s="1" t="s">
        <v>494</v>
      </c>
      <c r="I21" s="1" t="s">
        <v>495</v>
      </c>
      <c r="J21" s="1" t="s">
        <v>496</v>
      </c>
      <c r="K21" s="1" t="s">
        <v>497</v>
      </c>
      <c r="N21" s="1" t="s">
        <v>498</v>
      </c>
      <c r="O21" s="1" t="s">
        <v>499</v>
      </c>
      <c r="P21" s="1" t="s">
        <v>427</v>
      </c>
      <c r="Q21" s="1" t="s">
        <v>468</v>
      </c>
      <c r="R21" s="1">
        <v>5</v>
      </c>
      <c r="S21" s="1">
        <v>0.05</v>
      </c>
    </row>
  </sheetData>
  <autoFilter ref="B1:U20" xr:uid="{B50BA1B2-A2A0-43CA-A45C-69B9256BF234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4DD25E7-C7FB-444C-94DD-EA50B5CC5423}">
          <x14:formula1>
            <xm:f>lookups!$C$2:$C$3</xm:f>
          </x14:formula1>
          <xm:sqref>C2:C7 C14:C21</xm:sqref>
        </x14:dataValidation>
        <x14:dataValidation type="list" allowBlank="1" showInputMessage="1" showErrorMessage="1" xr:uid="{C3745A5F-A079-40F8-89D6-D2CBD53DE1B7}">
          <x14:formula1>
            <xm:f>lookups!$A$2:$A$7</xm:f>
          </x14:formula1>
          <xm:sqref>D2:D7 D14:D21</xm:sqref>
        </x14:dataValidation>
        <x14:dataValidation type="list" allowBlank="1" showInputMessage="1" showErrorMessage="1" xr:uid="{EDA5A3DB-F736-4A7F-BD94-30556C13E5D0}">
          <x14:formula1>
            <xm:f>lookups!$G$2:$G$117</xm:f>
          </x14:formula1>
          <xm:sqref>F2:F7 F14:F21</xm:sqref>
        </x14:dataValidation>
        <x14:dataValidation type="list" allowBlank="1" showInputMessage="1" showErrorMessage="1" xr:uid="{1CE0BA8D-60F5-4392-8D81-75B3DCD3988C}">
          <x14:formula1>
            <xm:f>lookups!$E$2:$E$6</xm:f>
          </x14:formula1>
          <xm:sqref>E2:E7 E14:E21</xm:sqref>
        </x14:dataValidation>
        <x14:dataValidation type="list" allowBlank="1" showInputMessage="1" showErrorMessage="1" xr:uid="{D9A4D77F-881D-4C85-B4B6-FD00BD6C9DF3}">
          <x14:formula1>
            <xm:f>lookups!$I$2:$I$300</xm:f>
          </x14:formula1>
          <xm:sqref>G2:G7 G14:G21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76D9-2FFC-4EA2-A37E-2DE422530777}">
  <dimension ref="A1:L300"/>
  <sheetViews>
    <sheetView zoomScale="80" zoomScaleNormal="80" workbookViewId="0">
      <selection activeCell="C3" sqref="C3"/>
    </sheetView>
  </sheetViews>
  <sheetFormatPr defaultRowHeight="15" x14ac:dyDescent="0.25"/>
  <cols>
    <col min="1" max="1" width="14.28515625" bestFit="1" customWidth="1"/>
    <col min="3" max="3" width="13.42578125" bestFit="1" customWidth="1"/>
    <col min="5" max="5" width="10.5703125" customWidth="1"/>
    <col min="7" max="7" width="43.7109375" customWidth="1"/>
    <col min="8" max="8" width="33.7109375" customWidth="1"/>
    <col min="9" max="9" width="44" customWidth="1"/>
  </cols>
  <sheetData>
    <row r="1" spans="1:12" x14ac:dyDescent="0.25">
      <c r="A1" s="4" t="s">
        <v>24</v>
      </c>
      <c r="C1" s="4" t="s">
        <v>1</v>
      </c>
      <c r="E1" s="4" t="s">
        <v>3</v>
      </c>
      <c r="G1" s="4" t="s">
        <v>4</v>
      </c>
      <c r="I1" s="4" t="s">
        <v>5</v>
      </c>
    </row>
    <row r="2" spans="1:12" x14ac:dyDescent="0.25">
      <c r="A2" t="s">
        <v>20</v>
      </c>
      <c r="C2" t="s">
        <v>26</v>
      </c>
      <c r="E2" t="s">
        <v>27</v>
      </c>
      <c r="G2" s="11" t="s">
        <v>21</v>
      </c>
      <c r="I2" s="11" t="s">
        <v>22</v>
      </c>
    </row>
    <row r="3" spans="1:12" x14ac:dyDescent="0.25">
      <c r="A3" t="s">
        <v>23</v>
      </c>
      <c r="C3" t="s">
        <v>25</v>
      </c>
      <c r="E3" t="s">
        <v>28</v>
      </c>
      <c r="G3" s="11" t="s">
        <v>45</v>
      </c>
      <c r="I3" s="11" t="s">
        <v>68</v>
      </c>
      <c r="L3" s="5"/>
    </row>
    <row r="4" spans="1:12" x14ac:dyDescent="0.25">
      <c r="A4" t="s">
        <v>33</v>
      </c>
      <c r="E4" t="s">
        <v>29</v>
      </c>
      <c r="G4" s="11" t="s">
        <v>47</v>
      </c>
      <c r="I4" s="11" t="s">
        <v>53</v>
      </c>
    </row>
    <row r="5" spans="1:12" x14ac:dyDescent="0.25">
      <c r="A5" t="s">
        <v>34</v>
      </c>
      <c r="E5" t="s">
        <v>31</v>
      </c>
      <c r="G5" s="11" t="s">
        <v>46</v>
      </c>
      <c r="I5" s="11" t="s">
        <v>69</v>
      </c>
    </row>
    <row r="6" spans="1:12" x14ac:dyDescent="0.25">
      <c r="A6" t="s">
        <v>35</v>
      </c>
      <c r="E6" t="s">
        <v>32</v>
      </c>
      <c r="G6" s="11" t="s">
        <v>64</v>
      </c>
      <c r="I6" s="11" t="s">
        <v>70</v>
      </c>
    </row>
    <row r="7" spans="1:12" x14ac:dyDescent="0.25">
      <c r="A7" t="s">
        <v>36</v>
      </c>
      <c r="E7" t="s">
        <v>30</v>
      </c>
      <c r="G7" s="11" t="s">
        <v>50</v>
      </c>
      <c r="I7" s="11" t="s">
        <v>71</v>
      </c>
    </row>
    <row r="8" spans="1:12" x14ac:dyDescent="0.25">
      <c r="G8" s="11" t="s">
        <v>51</v>
      </c>
      <c r="I8" s="11" t="s">
        <v>72</v>
      </c>
    </row>
    <row r="9" spans="1:12" x14ac:dyDescent="0.25">
      <c r="G9" s="11" t="s">
        <v>48</v>
      </c>
      <c r="I9" s="11" t="s">
        <v>73</v>
      </c>
    </row>
    <row r="10" spans="1:12" x14ac:dyDescent="0.25">
      <c r="G10" s="11" t="s">
        <v>49</v>
      </c>
      <c r="I10" s="11" t="s">
        <v>74</v>
      </c>
    </row>
    <row r="11" spans="1:12" x14ac:dyDescent="0.25">
      <c r="G11" s="11" t="s">
        <v>65</v>
      </c>
      <c r="I11" s="11" t="s">
        <v>75</v>
      </c>
    </row>
    <row r="12" spans="1:12" x14ac:dyDescent="0.25">
      <c r="G12" s="11" t="s">
        <v>66</v>
      </c>
      <c r="I12" s="11" t="s">
        <v>76</v>
      </c>
    </row>
    <row r="13" spans="1:12" x14ac:dyDescent="0.25">
      <c r="G13" s="11" t="s">
        <v>67</v>
      </c>
      <c r="I13" s="11" t="s">
        <v>77</v>
      </c>
    </row>
    <row r="14" spans="1:12" x14ac:dyDescent="0.25">
      <c r="G14" s="7" t="s">
        <v>38</v>
      </c>
      <c r="I14" s="11" t="s">
        <v>52</v>
      </c>
    </row>
    <row r="15" spans="1:12" x14ac:dyDescent="0.25">
      <c r="G15" s="7" t="s">
        <v>39</v>
      </c>
      <c r="I15" s="11" t="s">
        <v>78</v>
      </c>
    </row>
    <row r="16" spans="1:12" x14ac:dyDescent="0.25">
      <c r="G16" s="7" t="s">
        <v>55</v>
      </c>
      <c r="I16" s="11" t="s">
        <v>79</v>
      </c>
    </row>
    <row r="17" spans="7:9" x14ac:dyDescent="0.25">
      <c r="G17" s="7" t="s">
        <v>56</v>
      </c>
      <c r="I17" s="11" t="s">
        <v>80</v>
      </c>
    </row>
    <row r="18" spans="7:9" x14ac:dyDescent="0.25">
      <c r="G18" s="7" t="s">
        <v>40</v>
      </c>
      <c r="I18" s="11" t="s">
        <v>81</v>
      </c>
    </row>
    <row r="19" spans="7:9" x14ac:dyDescent="0.25">
      <c r="G19" s="7" t="s">
        <v>41</v>
      </c>
      <c r="I19" s="11" t="s">
        <v>82</v>
      </c>
    </row>
    <row r="20" spans="7:9" x14ac:dyDescent="0.25">
      <c r="G20" s="7" t="s">
        <v>42</v>
      </c>
      <c r="I20" s="11" t="s">
        <v>83</v>
      </c>
    </row>
    <row r="21" spans="7:9" x14ac:dyDescent="0.25">
      <c r="G21" s="7" t="s">
        <v>37</v>
      </c>
      <c r="I21" s="11" t="s">
        <v>84</v>
      </c>
    </row>
    <row r="22" spans="7:9" x14ac:dyDescent="0.25">
      <c r="G22" s="7" t="s">
        <v>108</v>
      </c>
      <c r="I22" s="11" t="s">
        <v>85</v>
      </c>
    </row>
    <row r="23" spans="7:9" x14ac:dyDescent="0.25">
      <c r="G23" s="7" t="s">
        <v>43</v>
      </c>
      <c r="I23" s="11" t="s">
        <v>86</v>
      </c>
    </row>
    <row r="24" spans="7:9" x14ac:dyDescent="0.25">
      <c r="G24" s="7" t="s">
        <v>109</v>
      </c>
      <c r="I24" s="11" t="s">
        <v>87</v>
      </c>
    </row>
    <row r="25" spans="7:9" x14ac:dyDescent="0.25">
      <c r="G25" s="7" t="s">
        <v>110</v>
      </c>
      <c r="I25" s="11" t="s">
        <v>88</v>
      </c>
    </row>
    <row r="26" spans="7:9" x14ac:dyDescent="0.25">
      <c r="G26" s="7" t="s">
        <v>44</v>
      </c>
      <c r="I26" s="11" t="s">
        <v>89</v>
      </c>
    </row>
    <row r="27" spans="7:9" x14ac:dyDescent="0.25">
      <c r="G27" s="8" t="s">
        <v>132</v>
      </c>
      <c r="I27" s="11" t="s">
        <v>90</v>
      </c>
    </row>
    <row r="28" spans="7:9" x14ac:dyDescent="0.25">
      <c r="G28" s="8" t="s">
        <v>133</v>
      </c>
      <c r="I28" s="11" t="s">
        <v>91</v>
      </c>
    </row>
    <row r="29" spans="7:9" x14ac:dyDescent="0.25">
      <c r="G29" s="8" t="s">
        <v>134</v>
      </c>
      <c r="I29" s="11" t="s">
        <v>92</v>
      </c>
    </row>
    <row r="30" spans="7:9" x14ac:dyDescent="0.25">
      <c r="G30" s="8" t="s">
        <v>135</v>
      </c>
      <c r="I30" s="11" t="s">
        <v>93</v>
      </c>
    </row>
    <row r="31" spans="7:9" x14ac:dyDescent="0.25">
      <c r="G31" s="8" t="s">
        <v>136</v>
      </c>
      <c r="I31" s="11" t="s">
        <v>54</v>
      </c>
    </row>
    <row r="32" spans="7:9" x14ac:dyDescent="0.25">
      <c r="G32" s="8" t="s">
        <v>43</v>
      </c>
      <c r="I32" s="11" t="s">
        <v>94</v>
      </c>
    </row>
    <row r="33" spans="7:9" x14ac:dyDescent="0.25">
      <c r="G33" s="8" t="s">
        <v>137</v>
      </c>
      <c r="I33" s="11" t="s">
        <v>95</v>
      </c>
    </row>
    <row r="34" spans="7:9" x14ac:dyDescent="0.25">
      <c r="G34" s="8" t="s">
        <v>138</v>
      </c>
      <c r="I34" s="11" t="s">
        <v>96</v>
      </c>
    </row>
    <row r="35" spans="7:9" x14ac:dyDescent="0.25">
      <c r="G35" s="8" t="s">
        <v>139</v>
      </c>
      <c r="I35" s="11" t="s">
        <v>97</v>
      </c>
    </row>
    <row r="36" spans="7:9" x14ac:dyDescent="0.25">
      <c r="G36" s="8" t="s">
        <v>140</v>
      </c>
      <c r="I36" s="11" t="s">
        <v>98</v>
      </c>
    </row>
    <row r="37" spans="7:9" x14ac:dyDescent="0.25">
      <c r="G37" s="8" t="s">
        <v>141</v>
      </c>
      <c r="I37" s="11" t="s">
        <v>99</v>
      </c>
    </row>
    <row r="38" spans="7:9" x14ac:dyDescent="0.25">
      <c r="G38" s="8" t="s">
        <v>142</v>
      </c>
      <c r="I38" s="11" t="s">
        <v>100</v>
      </c>
    </row>
    <row r="39" spans="7:9" x14ac:dyDescent="0.25">
      <c r="G39" s="8" t="s">
        <v>143</v>
      </c>
      <c r="I39" s="11" t="s">
        <v>101</v>
      </c>
    </row>
    <row r="40" spans="7:9" x14ac:dyDescent="0.25">
      <c r="G40" s="8" t="s">
        <v>144</v>
      </c>
      <c r="I40" s="11" t="s">
        <v>102</v>
      </c>
    </row>
    <row r="41" spans="7:9" x14ac:dyDescent="0.25">
      <c r="G41" s="8" t="s">
        <v>145</v>
      </c>
      <c r="I41" s="11" t="s">
        <v>103</v>
      </c>
    </row>
    <row r="42" spans="7:9" x14ac:dyDescent="0.25">
      <c r="G42" s="8" t="s">
        <v>146</v>
      </c>
      <c r="I42" s="11" t="s">
        <v>104</v>
      </c>
    </row>
    <row r="43" spans="7:9" x14ac:dyDescent="0.25">
      <c r="G43" s="8" t="s">
        <v>147</v>
      </c>
      <c r="I43" s="11" t="s">
        <v>105</v>
      </c>
    </row>
    <row r="44" spans="7:9" x14ac:dyDescent="0.25">
      <c r="G44" s="8" t="s">
        <v>148</v>
      </c>
      <c r="I44" s="11" t="s">
        <v>106</v>
      </c>
    </row>
    <row r="45" spans="7:9" x14ac:dyDescent="0.25">
      <c r="G45" s="8" t="s">
        <v>149</v>
      </c>
      <c r="I45" s="11" t="s">
        <v>107</v>
      </c>
    </row>
    <row r="46" spans="7:9" x14ac:dyDescent="0.25">
      <c r="G46" s="8" t="s">
        <v>150</v>
      </c>
      <c r="I46" s="7" t="s">
        <v>111</v>
      </c>
    </row>
    <row r="47" spans="7:9" x14ac:dyDescent="0.25">
      <c r="G47" s="8" t="s">
        <v>151</v>
      </c>
      <c r="I47" s="7" t="s">
        <v>112</v>
      </c>
    </row>
    <row r="48" spans="7:9" x14ac:dyDescent="0.25">
      <c r="G48" s="8" t="s">
        <v>152</v>
      </c>
      <c r="I48" s="7" t="s">
        <v>460</v>
      </c>
    </row>
    <row r="49" spans="7:9" x14ac:dyDescent="0.25">
      <c r="G49" s="8" t="s">
        <v>153</v>
      </c>
      <c r="I49" s="7" t="s">
        <v>461</v>
      </c>
    </row>
    <row r="50" spans="7:9" x14ac:dyDescent="0.25">
      <c r="G50" s="8" t="s">
        <v>154</v>
      </c>
      <c r="I50" s="7" t="s">
        <v>462</v>
      </c>
    </row>
    <row r="51" spans="7:9" x14ac:dyDescent="0.25">
      <c r="G51" s="8" t="s">
        <v>155</v>
      </c>
      <c r="I51" s="7" t="s">
        <v>463</v>
      </c>
    </row>
    <row r="52" spans="7:9" x14ac:dyDescent="0.25">
      <c r="G52" s="8" t="s">
        <v>156</v>
      </c>
      <c r="I52" s="7" t="s">
        <v>113</v>
      </c>
    </row>
    <row r="53" spans="7:9" x14ac:dyDescent="0.25">
      <c r="G53" s="8" t="s">
        <v>157</v>
      </c>
      <c r="I53" s="7" t="s">
        <v>114</v>
      </c>
    </row>
    <row r="54" spans="7:9" x14ac:dyDescent="0.25">
      <c r="G54" s="8" t="s">
        <v>158</v>
      </c>
      <c r="I54" s="7" t="s">
        <v>115</v>
      </c>
    </row>
    <row r="55" spans="7:9" x14ac:dyDescent="0.25">
      <c r="G55" s="9" t="s">
        <v>266</v>
      </c>
      <c r="I55" s="7" t="s">
        <v>116</v>
      </c>
    </row>
    <row r="56" spans="7:9" x14ac:dyDescent="0.25">
      <c r="G56" s="9" t="s">
        <v>267</v>
      </c>
      <c r="I56" s="7" t="s">
        <v>117</v>
      </c>
    </row>
    <row r="57" spans="7:9" x14ac:dyDescent="0.25">
      <c r="G57" s="9" t="s">
        <v>268</v>
      </c>
      <c r="I57" s="7" t="s">
        <v>118</v>
      </c>
    </row>
    <row r="58" spans="7:9" x14ac:dyDescent="0.25">
      <c r="G58" s="9" t="s">
        <v>269</v>
      </c>
      <c r="I58" s="7" t="s">
        <v>119</v>
      </c>
    </row>
    <row r="59" spans="7:9" x14ac:dyDescent="0.25">
      <c r="G59" s="9" t="s">
        <v>270</v>
      </c>
      <c r="I59" s="7" t="s">
        <v>120</v>
      </c>
    </row>
    <row r="60" spans="7:9" x14ac:dyDescent="0.25">
      <c r="G60" s="9" t="s">
        <v>271</v>
      </c>
      <c r="I60" s="7" t="s">
        <v>121</v>
      </c>
    </row>
    <row r="61" spans="7:9" x14ac:dyDescent="0.25">
      <c r="G61" s="9" t="s">
        <v>272</v>
      </c>
      <c r="I61" s="7" t="s">
        <v>122</v>
      </c>
    </row>
    <row r="62" spans="7:9" x14ac:dyDescent="0.25">
      <c r="G62" s="9" t="s">
        <v>273</v>
      </c>
      <c r="I62" s="7" t="s">
        <v>57</v>
      </c>
    </row>
    <row r="63" spans="7:9" x14ac:dyDescent="0.25">
      <c r="G63" s="9" t="s">
        <v>274</v>
      </c>
      <c r="I63" s="7" t="s">
        <v>58</v>
      </c>
    </row>
    <row r="64" spans="7:9" x14ac:dyDescent="0.25">
      <c r="G64" s="9" t="s">
        <v>275</v>
      </c>
      <c r="I64" s="7" t="s">
        <v>123</v>
      </c>
    </row>
    <row r="65" spans="7:9" x14ac:dyDescent="0.25">
      <c r="G65" s="9" t="s">
        <v>276</v>
      </c>
      <c r="I65" s="7" t="s">
        <v>124</v>
      </c>
    </row>
    <row r="66" spans="7:9" x14ac:dyDescent="0.25">
      <c r="G66" s="9" t="s">
        <v>277</v>
      </c>
      <c r="I66" s="7" t="s">
        <v>125</v>
      </c>
    </row>
    <row r="67" spans="7:9" x14ac:dyDescent="0.25">
      <c r="G67" s="10" t="s">
        <v>307</v>
      </c>
      <c r="I67" s="7" t="s">
        <v>59</v>
      </c>
    </row>
    <row r="68" spans="7:9" x14ac:dyDescent="0.25">
      <c r="G68" s="10" t="s">
        <v>308</v>
      </c>
      <c r="I68" s="7" t="s">
        <v>60</v>
      </c>
    </row>
    <row r="69" spans="7:9" x14ac:dyDescent="0.25">
      <c r="G69" s="10" t="s">
        <v>309</v>
      </c>
      <c r="I69" s="7" t="s">
        <v>126</v>
      </c>
    </row>
    <row r="70" spans="7:9" x14ac:dyDescent="0.25">
      <c r="G70" s="10" t="s">
        <v>310</v>
      </c>
      <c r="I70" s="7" t="s">
        <v>127</v>
      </c>
    </row>
    <row r="71" spans="7:9" x14ac:dyDescent="0.25">
      <c r="G71" s="10" t="s">
        <v>311</v>
      </c>
      <c r="I71" s="7" t="s">
        <v>128</v>
      </c>
    </row>
    <row r="72" spans="7:9" x14ac:dyDescent="0.25">
      <c r="G72" s="10" t="s">
        <v>312</v>
      </c>
      <c r="I72" s="7" t="s">
        <v>129</v>
      </c>
    </row>
    <row r="73" spans="7:9" x14ac:dyDescent="0.25">
      <c r="G73" s="10" t="s">
        <v>313</v>
      </c>
      <c r="I73" s="7" t="s">
        <v>130</v>
      </c>
    </row>
    <row r="74" spans="7:9" x14ac:dyDescent="0.25">
      <c r="G74" s="10" t="s">
        <v>314</v>
      </c>
      <c r="I74" s="7" t="s">
        <v>61</v>
      </c>
    </row>
    <row r="75" spans="7:9" x14ac:dyDescent="0.25">
      <c r="G75" s="10" t="s">
        <v>315</v>
      </c>
      <c r="I75" s="7" t="s">
        <v>131</v>
      </c>
    </row>
    <row r="76" spans="7:9" x14ac:dyDescent="0.25">
      <c r="G76" s="10" t="s">
        <v>316</v>
      </c>
      <c r="I76" s="7" t="s">
        <v>62</v>
      </c>
    </row>
    <row r="77" spans="7:9" x14ac:dyDescent="0.25">
      <c r="G77" s="10" t="s">
        <v>317</v>
      </c>
      <c r="I77" s="7" t="s">
        <v>63</v>
      </c>
    </row>
    <row r="78" spans="7:9" x14ac:dyDescent="0.25">
      <c r="G78" s="10" t="s">
        <v>318</v>
      </c>
      <c r="I78" s="8" t="s">
        <v>159</v>
      </c>
    </row>
    <row r="79" spans="7:9" x14ac:dyDescent="0.25">
      <c r="G79" s="10" t="s">
        <v>319</v>
      </c>
      <c r="I79" s="8" t="s">
        <v>160</v>
      </c>
    </row>
    <row r="80" spans="7:9" x14ac:dyDescent="0.25">
      <c r="G80" s="10" t="s">
        <v>320</v>
      </c>
      <c r="I80" s="8" t="s">
        <v>161</v>
      </c>
    </row>
    <row r="81" spans="7:9" x14ac:dyDescent="0.25">
      <c r="G81" s="10" t="s">
        <v>321</v>
      </c>
      <c r="I81" s="8" t="s">
        <v>162</v>
      </c>
    </row>
    <row r="82" spans="7:9" x14ac:dyDescent="0.25">
      <c r="G82" s="10" t="s">
        <v>322</v>
      </c>
      <c r="I82" s="8" t="s">
        <v>163</v>
      </c>
    </row>
    <row r="83" spans="7:9" x14ac:dyDescent="0.25">
      <c r="G83" s="10" t="s">
        <v>323</v>
      </c>
      <c r="I83" s="8" t="s">
        <v>164</v>
      </c>
    </row>
    <row r="84" spans="7:9" x14ac:dyDescent="0.25">
      <c r="G84" s="10" t="s">
        <v>324</v>
      </c>
      <c r="I84" s="8" t="s">
        <v>165</v>
      </c>
    </row>
    <row r="85" spans="7:9" x14ac:dyDescent="0.25">
      <c r="G85" s="10" t="s">
        <v>325</v>
      </c>
      <c r="I85" s="8" t="s">
        <v>166</v>
      </c>
    </row>
    <row r="86" spans="7:9" x14ac:dyDescent="0.25">
      <c r="G86" s="10" t="s">
        <v>326</v>
      </c>
      <c r="I86" s="8" t="s">
        <v>167</v>
      </c>
    </row>
    <row r="87" spans="7:9" x14ac:dyDescent="0.25">
      <c r="G87" s="10" t="s">
        <v>327</v>
      </c>
      <c r="I87" s="8" t="s">
        <v>168</v>
      </c>
    </row>
    <row r="88" spans="7:9" x14ac:dyDescent="0.25">
      <c r="G88" s="10" t="s">
        <v>328</v>
      </c>
      <c r="I88" s="8" t="s">
        <v>169</v>
      </c>
    </row>
    <row r="89" spans="7:9" x14ac:dyDescent="0.25">
      <c r="G89" s="11" t="s">
        <v>384</v>
      </c>
      <c r="I89" s="8" t="s">
        <v>170</v>
      </c>
    </row>
    <row r="90" spans="7:9" x14ac:dyDescent="0.25">
      <c r="G90" s="11" t="s">
        <v>385</v>
      </c>
      <c r="I90" s="8" t="s">
        <v>171</v>
      </c>
    </row>
    <row r="91" spans="7:9" x14ac:dyDescent="0.25">
      <c r="G91" s="11" t="s">
        <v>386</v>
      </c>
      <c r="I91" s="8" t="s">
        <v>172</v>
      </c>
    </row>
    <row r="92" spans="7:9" x14ac:dyDescent="0.25">
      <c r="G92" s="11" t="s">
        <v>387</v>
      </c>
      <c r="I92" s="8" t="s">
        <v>173</v>
      </c>
    </row>
    <row r="93" spans="7:9" x14ac:dyDescent="0.25">
      <c r="G93" s="11" t="s">
        <v>388</v>
      </c>
      <c r="I93" s="8" t="s">
        <v>174</v>
      </c>
    </row>
    <row r="94" spans="7:9" x14ac:dyDescent="0.25">
      <c r="G94" s="11" t="s">
        <v>389</v>
      </c>
      <c r="I94" s="8" t="s">
        <v>175</v>
      </c>
    </row>
    <row r="95" spans="7:9" x14ac:dyDescent="0.25">
      <c r="G95" s="11" t="s">
        <v>390</v>
      </c>
      <c r="I95" s="8" t="s">
        <v>176</v>
      </c>
    </row>
    <row r="96" spans="7:9" x14ac:dyDescent="0.25">
      <c r="G96" s="11" t="s">
        <v>391</v>
      </c>
      <c r="I96" s="8" t="s">
        <v>177</v>
      </c>
    </row>
    <row r="97" spans="9:9" x14ac:dyDescent="0.25">
      <c r="I97" s="8" t="s">
        <v>178</v>
      </c>
    </row>
    <row r="98" spans="9:9" x14ac:dyDescent="0.25">
      <c r="I98" s="8" t="s">
        <v>179</v>
      </c>
    </row>
    <row r="99" spans="9:9" x14ac:dyDescent="0.25">
      <c r="I99" s="8" t="s">
        <v>180</v>
      </c>
    </row>
    <row r="100" spans="9:9" x14ac:dyDescent="0.25">
      <c r="I100" s="8" t="s">
        <v>181</v>
      </c>
    </row>
    <row r="101" spans="9:9" x14ac:dyDescent="0.25">
      <c r="I101" s="8" t="s">
        <v>182</v>
      </c>
    </row>
    <row r="102" spans="9:9" x14ac:dyDescent="0.25">
      <c r="I102" s="8" t="s">
        <v>183</v>
      </c>
    </row>
    <row r="103" spans="9:9" x14ac:dyDescent="0.25">
      <c r="I103" s="8" t="s">
        <v>184</v>
      </c>
    </row>
    <row r="104" spans="9:9" x14ac:dyDescent="0.25">
      <c r="I104" s="8" t="s">
        <v>185</v>
      </c>
    </row>
    <row r="105" spans="9:9" x14ac:dyDescent="0.25">
      <c r="I105" s="8" t="s">
        <v>186</v>
      </c>
    </row>
    <row r="106" spans="9:9" x14ac:dyDescent="0.25">
      <c r="I106" s="8" t="s">
        <v>187</v>
      </c>
    </row>
    <row r="107" spans="9:9" x14ac:dyDescent="0.25">
      <c r="I107" s="8" t="s">
        <v>188</v>
      </c>
    </row>
    <row r="108" spans="9:9" x14ac:dyDescent="0.25">
      <c r="I108" s="8" t="s">
        <v>189</v>
      </c>
    </row>
    <row r="109" spans="9:9" x14ac:dyDescent="0.25">
      <c r="I109" s="8" t="s">
        <v>190</v>
      </c>
    </row>
    <row r="110" spans="9:9" x14ac:dyDescent="0.25">
      <c r="I110" s="8" t="s">
        <v>191</v>
      </c>
    </row>
    <row r="111" spans="9:9" x14ac:dyDescent="0.25">
      <c r="I111" s="8" t="s">
        <v>192</v>
      </c>
    </row>
    <row r="112" spans="9:9" x14ac:dyDescent="0.25">
      <c r="I112" s="8" t="s">
        <v>193</v>
      </c>
    </row>
    <row r="113" spans="7:9" x14ac:dyDescent="0.25">
      <c r="I113" s="8" t="s">
        <v>194</v>
      </c>
    </row>
    <row r="114" spans="7:9" x14ac:dyDescent="0.25">
      <c r="I114" s="8" t="s">
        <v>195</v>
      </c>
    </row>
    <row r="115" spans="7:9" x14ac:dyDescent="0.25">
      <c r="I115" s="8" t="s">
        <v>196</v>
      </c>
    </row>
    <row r="116" spans="7:9" x14ac:dyDescent="0.25">
      <c r="I116" s="8" t="s">
        <v>197</v>
      </c>
    </row>
    <row r="117" spans="7:9" x14ac:dyDescent="0.25">
      <c r="G117" s="6"/>
      <c r="I117" s="8" t="s">
        <v>198</v>
      </c>
    </row>
    <row r="118" spans="7:9" x14ac:dyDescent="0.25">
      <c r="I118" s="8" t="s">
        <v>199</v>
      </c>
    </row>
    <row r="119" spans="7:9" x14ac:dyDescent="0.25">
      <c r="I119" s="8" t="s">
        <v>200</v>
      </c>
    </row>
    <row r="120" spans="7:9" x14ac:dyDescent="0.25">
      <c r="I120" s="8" t="s">
        <v>201</v>
      </c>
    </row>
    <row r="121" spans="7:9" x14ac:dyDescent="0.25">
      <c r="I121" s="8" t="s">
        <v>202</v>
      </c>
    </row>
    <row r="122" spans="7:9" x14ac:dyDescent="0.25">
      <c r="I122" s="8" t="s">
        <v>203</v>
      </c>
    </row>
    <row r="123" spans="7:9" x14ac:dyDescent="0.25">
      <c r="I123" s="8" t="s">
        <v>204</v>
      </c>
    </row>
    <row r="124" spans="7:9" x14ac:dyDescent="0.25">
      <c r="I124" s="8" t="s">
        <v>205</v>
      </c>
    </row>
    <row r="125" spans="7:9" x14ac:dyDescent="0.25">
      <c r="I125" s="8" t="s">
        <v>206</v>
      </c>
    </row>
    <row r="126" spans="7:9" x14ac:dyDescent="0.25">
      <c r="I126" s="8" t="s">
        <v>207</v>
      </c>
    </row>
    <row r="127" spans="7:9" x14ac:dyDescent="0.25">
      <c r="I127" s="8" t="s">
        <v>208</v>
      </c>
    </row>
    <row r="128" spans="7:9" x14ac:dyDescent="0.25">
      <c r="I128" s="8" t="s">
        <v>209</v>
      </c>
    </row>
    <row r="129" spans="9:9" x14ac:dyDescent="0.25">
      <c r="I129" s="8" t="s">
        <v>210</v>
      </c>
    </row>
    <row r="130" spans="9:9" x14ac:dyDescent="0.25">
      <c r="I130" s="8" t="s">
        <v>211</v>
      </c>
    </row>
    <row r="131" spans="9:9" x14ac:dyDescent="0.25">
      <c r="I131" s="8" t="s">
        <v>212</v>
      </c>
    </row>
    <row r="132" spans="9:9" x14ac:dyDescent="0.25">
      <c r="I132" s="8" t="s">
        <v>213</v>
      </c>
    </row>
    <row r="133" spans="9:9" x14ac:dyDescent="0.25">
      <c r="I133" s="8" t="s">
        <v>214</v>
      </c>
    </row>
    <row r="134" spans="9:9" x14ac:dyDescent="0.25">
      <c r="I134" s="8" t="s">
        <v>215</v>
      </c>
    </row>
    <row r="135" spans="9:9" x14ac:dyDescent="0.25">
      <c r="I135" s="8" t="s">
        <v>216</v>
      </c>
    </row>
    <row r="136" spans="9:9" x14ac:dyDescent="0.25">
      <c r="I136" s="8" t="s">
        <v>217</v>
      </c>
    </row>
    <row r="137" spans="9:9" x14ac:dyDescent="0.25">
      <c r="I137" s="8" t="s">
        <v>218</v>
      </c>
    </row>
    <row r="138" spans="9:9" x14ac:dyDescent="0.25">
      <c r="I138" s="8" t="s">
        <v>219</v>
      </c>
    </row>
    <row r="139" spans="9:9" x14ac:dyDescent="0.25">
      <c r="I139" s="8" t="s">
        <v>220</v>
      </c>
    </row>
    <row r="140" spans="9:9" x14ac:dyDescent="0.25">
      <c r="I140" s="8" t="s">
        <v>221</v>
      </c>
    </row>
    <row r="141" spans="9:9" x14ac:dyDescent="0.25">
      <c r="I141" s="8" t="s">
        <v>222</v>
      </c>
    </row>
    <row r="142" spans="9:9" x14ac:dyDescent="0.25">
      <c r="I142" s="8" t="s">
        <v>223</v>
      </c>
    </row>
    <row r="143" spans="9:9" x14ac:dyDescent="0.25">
      <c r="I143" s="8" t="s">
        <v>224</v>
      </c>
    </row>
    <row r="144" spans="9:9" x14ac:dyDescent="0.25">
      <c r="I144" s="8" t="s">
        <v>225</v>
      </c>
    </row>
    <row r="145" spans="9:9" x14ac:dyDescent="0.25">
      <c r="I145" s="8" t="s">
        <v>226</v>
      </c>
    </row>
    <row r="146" spans="9:9" x14ac:dyDescent="0.25">
      <c r="I146" s="8" t="s">
        <v>227</v>
      </c>
    </row>
    <row r="147" spans="9:9" x14ac:dyDescent="0.25">
      <c r="I147" s="8" t="s">
        <v>228</v>
      </c>
    </row>
    <row r="148" spans="9:9" x14ac:dyDescent="0.25">
      <c r="I148" s="8" t="s">
        <v>229</v>
      </c>
    </row>
    <row r="149" spans="9:9" x14ac:dyDescent="0.25">
      <c r="I149" s="8" t="s">
        <v>230</v>
      </c>
    </row>
    <row r="150" spans="9:9" x14ac:dyDescent="0.25">
      <c r="I150" s="8" t="s">
        <v>231</v>
      </c>
    </row>
    <row r="151" spans="9:9" x14ac:dyDescent="0.25">
      <c r="I151" s="8" t="s">
        <v>232</v>
      </c>
    </row>
    <row r="152" spans="9:9" x14ac:dyDescent="0.25">
      <c r="I152" s="8" t="s">
        <v>233</v>
      </c>
    </row>
    <row r="153" spans="9:9" x14ac:dyDescent="0.25">
      <c r="I153" s="8" t="s">
        <v>234</v>
      </c>
    </row>
    <row r="154" spans="9:9" x14ac:dyDescent="0.25">
      <c r="I154" s="8" t="s">
        <v>235</v>
      </c>
    </row>
    <row r="155" spans="9:9" x14ac:dyDescent="0.25">
      <c r="I155" s="8" t="s">
        <v>236</v>
      </c>
    </row>
    <row r="156" spans="9:9" x14ac:dyDescent="0.25">
      <c r="I156" s="8" t="s">
        <v>237</v>
      </c>
    </row>
    <row r="157" spans="9:9" x14ac:dyDescent="0.25">
      <c r="I157" s="8" t="s">
        <v>238</v>
      </c>
    </row>
    <row r="158" spans="9:9" x14ac:dyDescent="0.25">
      <c r="I158" s="8" t="s">
        <v>239</v>
      </c>
    </row>
    <row r="159" spans="9:9" x14ac:dyDescent="0.25">
      <c r="I159" s="8" t="s">
        <v>240</v>
      </c>
    </row>
    <row r="160" spans="9:9" x14ac:dyDescent="0.25">
      <c r="I160" s="8" t="s">
        <v>241</v>
      </c>
    </row>
    <row r="161" spans="9:9" x14ac:dyDescent="0.25">
      <c r="I161" s="8" t="s">
        <v>242</v>
      </c>
    </row>
    <row r="162" spans="9:9" x14ac:dyDescent="0.25">
      <c r="I162" s="8" t="s">
        <v>243</v>
      </c>
    </row>
    <row r="163" spans="9:9" x14ac:dyDescent="0.25">
      <c r="I163" s="8" t="s">
        <v>244</v>
      </c>
    </row>
    <row r="164" spans="9:9" x14ac:dyDescent="0.25">
      <c r="I164" s="8" t="s">
        <v>245</v>
      </c>
    </row>
    <row r="165" spans="9:9" x14ac:dyDescent="0.25">
      <c r="I165" s="8" t="s">
        <v>246</v>
      </c>
    </row>
    <row r="166" spans="9:9" x14ac:dyDescent="0.25">
      <c r="I166" s="8" t="s">
        <v>247</v>
      </c>
    </row>
    <row r="167" spans="9:9" x14ac:dyDescent="0.25">
      <c r="I167" s="8" t="s">
        <v>248</v>
      </c>
    </row>
    <row r="168" spans="9:9" x14ac:dyDescent="0.25">
      <c r="I168" s="8" t="s">
        <v>249</v>
      </c>
    </row>
    <row r="169" spans="9:9" x14ac:dyDescent="0.25">
      <c r="I169" s="8" t="s">
        <v>250</v>
      </c>
    </row>
    <row r="170" spans="9:9" x14ac:dyDescent="0.25">
      <c r="I170" s="8" t="s">
        <v>251</v>
      </c>
    </row>
    <row r="171" spans="9:9" x14ac:dyDescent="0.25">
      <c r="I171" s="8" t="s">
        <v>252</v>
      </c>
    </row>
    <row r="172" spans="9:9" x14ac:dyDescent="0.25">
      <c r="I172" s="8" t="s">
        <v>253</v>
      </c>
    </row>
    <row r="173" spans="9:9" x14ac:dyDescent="0.25">
      <c r="I173" s="8" t="s">
        <v>254</v>
      </c>
    </row>
    <row r="174" spans="9:9" x14ac:dyDescent="0.25">
      <c r="I174" s="8" t="s">
        <v>255</v>
      </c>
    </row>
    <row r="175" spans="9:9" x14ac:dyDescent="0.25">
      <c r="I175" s="8" t="s">
        <v>256</v>
      </c>
    </row>
    <row r="176" spans="9:9" x14ac:dyDescent="0.25">
      <c r="I176" s="8" t="s">
        <v>257</v>
      </c>
    </row>
    <row r="177" spans="9:9" x14ac:dyDescent="0.25">
      <c r="I177" s="8" t="s">
        <v>258</v>
      </c>
    </row>
    <row r="178" spans="9:9" x14ac:dyDescent="0.25">
      <c r="I178" s="8" t="s">
        <v>259</v>
      </c>
    </row>
    <row r="179" spans="9:9" x14ac:dyDescent="0.25">
      <c r="I179" s="8" t="s">
        <v>260</v>
      </c>
    </row>
    <row r="180" spans="9:9" x14ac:dyDescent="0.25">
      <c r="I180" s="8" t="s">
        <v>261</v>
      </c>
    </row>
    <row r="181" spans="9:9" x14ac:dyDescent="0.25">
      <c r="I181" s="8" t="s">
        <v>262</v>
      </c>
    </row>
    <row r="182" spans="9:9" x14ac:dyDescent="0.25">
      <c r="I182" s="8" t="s">
        <v>263</v>
      </c>
    </row>
    <row r="183" spans="9:9" x14ac:dyDescent="0.25">
      <c r="I183" s="8" t="s">
        <v>264</v>
      </c>
    </row>
    <row r="184" spans="9:9" x14ac:dyDescent="0.25">
      <c r="I184" s="8" t="s">
        <v>265</v>
      </c>
    </row>
    <row r="185" spans="9:9" x14ac:dyDescent="0.25">
      <c r="I185" s="9" t="s">
        <v>278</v>
      </c>
    </row>
    <row r="186" spans="9:9" x14ac:dyDescent="0.25">
      <c r="I186" s="9" t="s">
        <v>279</v>
      </c>
    </row>
    <row r="187" spans="9:9" x14ac:dyDescent="0.25">
      <c r="I187" s="9" t="s">
        <v>280</v>
      </c>
    </row>
    <row r="188" spans="9:9" x14ac:dyDescent="0.25">
      <c r="I188" s="9" t="s">
        <v>281</v>
      </c>
    </row>
    <row r="189" spans="9:9" x14ac:dyDescent="0.25">
      <c r="I189" s="9" t="s">
        <v>282</v>
      </c>
    </row>
    <row r="190" spans="9:9" x14ac:dyDescent="0.25">
      <c r="I190" s="9" t="s">
        <v>283</v>
      </c>
    </row>
    <row r="191" spans="9:9" x14ac:dyDescent="0.25">
      <c r="I191" s="9" t="s">
        <v>284</v>
      </c>
    </row>
    <row r="192" spans="9:9" x14ac:dyDescent="0.25">
      <c r="I192" s="9" t="s">
        <v>285</v>
      </c>
    </row>
    <row r="193" spans="9:9" x14ac:dyDescent="0.25">
      <c r="I193" s="9" t="s">
        <v>286</v>
      </c>
    </row>
    <row r="194" spans="9:9" x14ac:dyDescent="0.25">
      <c r="I194" s="9" t="s">
        <v>287</v>
      </c>
    </row>
    <row r="195" spans="9:9" x14ac:dyDescent="0.25">
      <c r="I195" s="9" t="s">
        <v>288</v>
      </c>
    </row>
    <row r="196" spans="9:9" x14ac:dyDescent="0.25">
      <c r="I196" s="9" t="s">
        <v>289</v>
      </c>
    </row>
    <row r="197" spans="9:9" x14ac:dyDescent="0.25">
      <c r="I197" s="9" t="s">
        <v>290</v>
      </c>
    </row>
    <row r="198" spans="9:9" x14ac:dyDescent="0.25">
      <c r="I198" s="9" t="s">
        <v>291</v>
      </c>
    </row>
    <row r="199" spans="9:9" x14ac:dyDescent="0.25">
      <c r="I199" s="9" t="s">
        <v>292</v>
      </c>
    </row>
    <row r="200" spans="9:9" x14ac:dyDescent="0.25">
      <c r="I200" s="9" t="s">
        <v>293</v>
      </c>
    </row>
    <row r="201" spans="9:9" x14ac:dyDescent="0.25">
      <c r="I201" s="9" t="s">
        <v>294</v>
      </c>
    </row>
    <row r="202" spans="9:9" x14ac:dyDescent="0.25">
      <c r="I202" s="9" t="s">
        <v>295</v>
      </c>
    </row>
    <row r="203" spans="9:9" x14ac:dyDescent="0.25">
      <c r="I203" s="9" t="s">
        <v>296</v>
      </c>
    </row>
    <row r="204" spans="9:9" x14ac:dyDescent="0.25">
      <c r="I204" s="9" t="s">
        <v>297</v>
      </c>
    </row>
    <row r="205" spans="9:9" x14ac:dyDescent="0.25">
      <c r="I205" s="9" t="s">
        <v>298</v>
      </c>
    </row>
    <row r="206" spans="9:9" x14ac:dyDescent="0.25">
      <c r="I206" s="9" t="s">
        <v>299</v>
      </c>
    </row>
    <row r="207" spans="9:9" x14ac:dyDescent="0.25">
      <c r="I207" s="9" t="s">
        <v>300</v>
      </c>
    </row>
    <row r="208" spans="9:9" x14ac:dyDescent="0.25">
      <c r="I208" s="9" t="s">
        <v>301</v>
      </c>
    </row>
    <row r="209" spans="9:9" x14ac:dyDescent="0.25">
      <c r="I209" s="9" t="s">
        <v>302</v>
      </c>
    </row>
    <row r="210" spans="9:9" x14ac:dyDescent="0.25">
      <c r="I210" s="9" t="s">
        <v>303</v>
      </c>
    </row>
    <row r="211" spans="9:9" x14ac:dyDescent="0.25">
      <c r="I211" s="9" t="s">
        <v>304</v>
      </c>
    </row>
    <row r="212" spans="9:9" x14ac:dyDescent="0.25">
      <c r="I212" s="9" t="s">
        <v>305</v>
      </c>
    </row>
    <row r="213" spans="9:9" x14ac:dyDescent="0.25">
      <c r="I213" s="9" t="s">
        <v>306</v>
      </c>
    </row>
    <row r="214" spans="9:9" x14ac:dyDescent="0.25">
      <c r="I214" s="10" t="s">
        <v>329</v>
      </c>
    </row>
    <row r="215" spans="9:9" x14ac:dyDescent="0.25">
      <c r="I215" s="10" t="s">
        <v>330</v>
      </c>
    </row>
    <row r="216" spans="9:9" x14ac:dyDescent="0.25">
      <c r="I216" s="10" t="s">
        <v>331</v>
      </c>
    </row>
    <row r="217" spans="9:9" x14ac:dyDescent="0.25">
      <c r="I217" s="10" t="s">
        <v>332</v>
      </c>
    </row>
    <row r="218" spans="9:9" x14ac:dyDescent="0.25">
      <c r="I218" s="10" t="s">
        <v>333</v>
      </c>
    </row>
    <row r="219" spans="9:9" x14ac:dyDescent="0.25">
      <c r="I219" s="10" t="s">
        <v>334</v>
      </c>
    </row>
    <row r="220" spans="9:9" x14ac:dyDescent="0.25">
      <c r="I220" s="10" t="s">
        <v>335</v>
      </c>
    </row>
    <row r="221" spans="9:9" x14ac:dyDescent="0.25">
      <c r="I221" s="10" t="s">
        <v>336</v>
      </c>
    </row>
    <row r="222" spans="9:9" x14ac:dyDescent="0.25">
      <c r="I222" s="10" t="s">
        <v>337</v>
      </c>
    </row>
    <row r="223" spans="9:9" x14ac:dyDescent="0.25">
      <c r="I223" s="10" t="s">
        <v>338</v>
      </c>
    </row>
    <row r="224" spans="9:9" x14ac:dyDescent="0.25">
      <c r="I224" s="10" t="s">
        <v>339</v>
      </c>
    </row>
    <row r="225" spans="9:9" x14ac:dyDescent="0.25">
      <c r="I225" s="10" t="s">
        <v>340</v>
      </c>
    </row>
    <row r="226" spans="9:9" x14ac:dyDescent="0.25">
      <c r="I226" s="10" t="s">
        <v>341</v>
      </c>
    </row>
    <row r="227" spans="9:9" x14ac:dyDescent="0.25">
      <c r="I227" s="10" t="s">
        <v>342</v>
      </c>
    </row>
    <row r="228" spans="9:9" x14ac:dyDescent="0.25">
      <c r="I228" s="10" t="s">
        <v>343</v>
      </c>
    </row>
    <row r="229" spans="9:9" x14ac:dyDescent="0.25">
      <c r="I229" s="10" t="s">
        <v>344</v>
      </c>
    </row>
    <row r="230" spans="9:9" x14ac:dyDescent="0.25">
      <c r="I230" s="10" t="s">
        <v>345</v>
      </c>
    </row>
    <row r="231" spans="9:9" x14ac:dyDescent="0.25">
      <c r="I231" s="10" t="s">
        <v>346</v>
      </c>
    </row>
    <row r="232" spans="9:9" x14ac:dyDescent="0.25">
      <c r="I232" s="10" t="s">
        <v>347</v>
      </c>
    </row>
    <row r="233" spans="9:9" x14ac:dyDescent="0.25">
      <c r="I233" s="10" t="s">
        <v>348</v>
      </c>
    </row>
    <row r="234" spans="9:9" x14ac:dyDescent="0.25">
      <c r="I234" s="10" t="s">
        <v>349</v>
      </c>
    </row>
    <row r="235" spans="9:9" x14ac:dyDescent="0.25">
      <c r="I235" s="10" t="s">
        <v>350</v>
      </c>
    </row>
    <row r="236" spans="9:9" x14ac:dyDescent="0.25">
      <c r="I236" s="10" t="s">
        <v>351</v>
      </c>
    </row>
    <row r="237" spans="9:9" x14ac:dyDescent="0.25">
      <c r="I237" s="10" t="s">
        <v>352</v>
      </c>
    </row>
    <row r="238" spans="9:9" x14ac:dyDescent="0.25">
      <c r="I238" s="10" t="s">
        <v>353</v>
      </c>
    </row>
    <row r="239" spans="9:9" x14ac:dyDescent="0.25">
      <c r="I239" s="10" t="s">
        <v>354</v>
      </c>
    </row>
    <row r="240" spans="9:9" x14ac:dyDescent="0.25">
      <c r="I240" s="10" t="s">
        <v>355</v>
      </c>
    </row>
    <row r="241" spans="9:9" x14ac:dyDescent="0.25">
      <c r="I241" s="10" t="s">
        <v>356</v>
      </c>
    </row>
    <row r="242" spans="9:9" x14ac:dyDescent="0.25">
      <c r="I242" s="10" t="s">
        <v>357</v>
      </c>
    </row>
    <row r="243" spans="9:9" x14ac:dyDescent="0.25">
      <c r="I243" s="10" t="s">
        <v>358</v>
      </c>
    </row>
    <row r="244" spans="9:9" x14ac:dyDescent="0.25">
      <c r="I244" s="10" t="s">
        <v>359</v>
      </c>
    </row>
    <row r="245" spans="9:9" x14ac:dyDescent="0.25">
      <c r="I245" s="10" t="s">
        <v>360</v>
      </c>
    </row>
    <row r="246" spans="9:9" x14ac:dyDescent="0.25">
      <c r="I246" s="10" t="s">
        <v>361</v>
      </c>
    </row>
    <row r="247" spans="9:9" x14ac:dyDescent="0.25">
      <c r="I247" s="10" t="s">
        <v>362</v>
      </c>
    </row>
    <row r="248" spans="9:9" x14ac:dyDescent="0.25">
      <c r="I248" s="10" t="s">
        <v>363</v>
      </c>
    </row>
    <row r="249" spans="9:9" x14ac:dyDescent="0.25">
      <c r="I249" s="10" t="s">
        <v>364</v>
      </c>
    </row>
    <row r="250" spans="9:9" x14ac:dyDescent="0.25">
      <c r="I250" s="10" t="s">
        <v>365</v>
      </c>
    </row>
    <row r="251" spans="9:9" x14ac:dyDescent="0.25">
      <c r="I251" s="10" t="s">
        <v>366</v>
      </c>
    </row>
    <row r="252" spans="9:9" x14ac:dyDescent="0.25">
      <c r="I252" s="10" t="s">
        <v>367</v>
      </c>
    </row>
    <row r="253" spans="9:9" x14ac:dyDescent="0.25">
      <c r="I253" s="10" t="s">
        <v>368</v>
      </c>
    </row>
    <row r="254" spans="9:9" x14ac:dyDescent="0.25">
      <c r="I254" s="10" t="s">
        <v>369</v>
      </c>
    </row>
    <row r="255" spans="9:9" x14ac:dyDescent="0.25">
      <c r="I255" s="10" t="s">
        <v>370</v>
      </c>
    </row>
    <row r="256" spans="9:9" x14ac:dyDescent="0.25">
      <c r="I256" s="10" t="s">
        <v>371</v>
      </c>
    </row>
    <row r="257" spans="9:9" x14ac:dyDescent="0.25">
      <c r="I257" s="10" t="s">
        <v>372</v>
      </c>
    </row>
    <row r="258" spans="9:9" x14ac:dyDescent="0.25">
      <c r="I258" s="10" t="s">
        <v>373</v>
      </c>
    </row>
    <row r="259" spans="9:9" x14ac:dyDescent="0.25">
      <c r="I259" s="10" t="s">
        <v>374</v>
      </c>
    </row>
    <row r="260" spans="9:9" x14ac:dyDescent="0.25">
      <c r="I260" s="10" t="s">
        <v>375</v>
      </c>
    </row>
    <row r="261" spans="9:9" x14ac:dyDescent="0.25">
      <c r="I261" s="10" t="s">
        <v>376</v>
      </c>
    </row>
    <row r="262" spans="9:9" x14ac:dyDescent="0.25">
      <c r="I262" s="10" t="s">
        <v>377</v>
      </c>
    </row>
    <row r="263" spans="9:9" x14ac:dyDescent="0.25">
      <c r="I263" s="10" t="s">
        <v>378</v>
      </c>
    </row>
    <row r="264" spans="9:9" x14ac:dyDescent="0.25">
      <c r="I264" s="10" t="s">
        <v>379</v>
      </c>
    </row>
    <row r="265" spans="9:9" x14ac:dyDescent="0.25">
      <c r="I265" s="10" t="s">
        <v>380</v>
      </c>
    </row>
    <row r="266" spans="9:9" x14ac:dyDescent="0.25">
      <c r="I266" s="10" t="s">
        <v>381</v>
      </c>
    </row>
    <row r="267" spans="9:9" x14ac:dyDescent="0.25">
      <c r="I267" s="10" t="s">
        <v>382</v>
      </c>
    </row>
    <row r="268" spans="9:9" x14ac:dyDescent="0.25">
      <c r="I268" s="10" t="s">
        <v>383</v>
      </c>
    </row>
    <row r="269" spans="9:9" x14ac:dyDescent="0.25">
      <c r="I269" s="11" t="s">
        <v>392</v>
      </c>
    </row>
    <row r="270" spans="9:9" x14ac:dyDescent="0.25">
      <c r="I270" s="11" t="s">
        <v>393</v>
      </c>
    </row>
    <row r="271" spans="9:9" x14ac:dyDescent="0.25">
      <c r="I271" s="11" t="s">
        <v>394</v>
      </c>
    </row>
    <row r="272" spans="9:9" x14ac:dyDescent="0.25">
      <c r="I272" s="11" t="s">
        <v>395</v>
      </c>
    </row>
    <row r="273" spans="9:9" x14ac:dyDescent="0.25">
      <c r="I273" s="11" t="s">
        <v>396</v>
      </c>
    </row>
    <row r="274" spans="9:9" x14ac:dyDescent="0.25">
      <c r="I274" s="11" t="s">
        <v>397</v>
      </c>
    </row>
    <row r="275" spans="9:9" x14ac:dyDescent="0.25">
      <c r="I275" s="11" t="s">
        <v>398</v>
      </c>
    </row>
    <row r="276" spans="9:9" x14ac:dyDescent="0.25">
      <c r="I276" s="11" t="s">
        <v>399</v>
      </c>
    </row>
    <row r="277" spans="9:9" x14ac:dyDescent="0.25">
      <c r="I277" s="11" t="s">
        <v>400</v>
      </c>
    </row>
    <row r="278" spans="9:9" x14ac:dyDescent="0.25">
      <c r="I278" s="11" t="s">
        <v>401</v>
      </c>
    </row>
    <row r="279" spans="9:9" x14ac:dyDescent="0.25">
      <c r="I279" s="11" t="s">
        <v>402</v>
      </c>
    </row>
    <row r="280" spans="9:9" x14ac:dyDescent="0.25">
      <c r="I280" s="11" t="s">
        <v>403</v>
      </c>
    </row>
    <row r="281" spans="9:9" x14ac:dyDescent="0.25">
      <c r="I281" s="11" t="s">
        <v>404</v>
      </c>
    </row>
    <row r="282" spans="9:9" x14ac:dyDescent="0.25">
      <c r="I282" s="11" t="s">
        <v>405</v>
      </c>
    </row>
    <row r="283" spans="9:9" x14ac:dyDescent="0.25">
      <c r="I283" s="11" t="s">
        <v>406</v>
      </c>
    </row>
    <row r="284" spans="9:9" x14ac:dyDescent="0.25">
      <c r="I284" s="11" t="s">
        <v>407</v>
      </c>
    </row>
    <row r="285" spans="9:9" x14ac:dyDescent="0.25">
      <c r="I285" s="11" t="s">
        <v>408</v>
      </c>
    </row>
    <row r="286" spans="9:9" x14ac:dyDescent="0.25">
      <c r="I286" s="11" t="s">
        <v>409</v>
      </c>
    </row>
    <row r="287" spans="9:9" x14ac:dyDescent="0.25">
      <c r="I287" s="11" t="s">
        <v>410</v>
      </c>
    </row>
    <row r="288" spans="9:9" x14ac:dyDescent="0.25">
      <c r="I288" s="11" t="s">
        <v>411</v>
      </c>
    </row>
    <row r="289" spans="9:9" x14ac:dyDescent="0.25">
      <c r="I289" s="11" t="s">
        <v>412</v>
      </c>
    </row>
    <row r="290" spans="9:9" x14ac:dyDescent="0.25">
      <c r="I290" s="11" t="s">
        <v>413</v>
      </c>
    </row>
    <row r="291" spans="9:9" x14ac:dyDescent="0.25">
      <c r="I291" s="11" t="s">
        <v>414</v>
      </c>
    </row>
    <row r="292" spans="9:9" x14ac:dyDescent="0.25">
      <c r="I292" s="11" t="s">
        <v>415</v>
      </c>
    </row>
    <row r="293" spans="9:9" x14ac:dyDescent="0.25">
      <c r="I293" s="11" t="s">
        <v>416</v>
      </c>
    </row>
    <row r="294" spans="9:9" x14ac:dyDescent="0.25">
      <c r="I294" s="11" t="s">
        <v>417</v>
      </c>
    </row>
    <row r="295" spans="9:9" x14ac:dyDescent="0.25">
      <c r="I295" s="11" t="s">
        <v>418</v>
      </c>
    </row>
    <row r="296" spans="9:9" x14ac:dyDescent="0.25">
      <c r="I296" s="11" t="s">
        <v>419</v>
      </c>
    </row>
    <row r="297" spans="9:9" x14ac:dyDescent="0.25">
      <c r="I297" s="11" t="s">
        <v>420</v>
      </c>
    </row>
    <row r="298" spans="9:9" x14ac:dyDescent="0.25">
      <c r="I298" s="11" t="s">
        <v>421</v>
      </c>
    </row>
    <row r="299" spans="9:9" x14ac:dyDescent="0.25">
      <c r="I299" s="11" t="s">
        <v>422</v>
      </c>
    </row>
    <row r="300" spans="9:9" x14ac:dyDescent="0.25">
      <c r="I300" s="11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bulk_upload_template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Ihtiram Ul Haque Khattak</cp:lastModifiedBy>
  <dcterms:created xsi:type="dcterms:W3CDTF">2025-09-20T02:44:42Z</dcterms:created>
  <dcterms:modified xsi:type="dcterms:W3CDTF">2025-09-24T04:08:47Z</dcterms:modified>
</cp:coreProperties>
</file>